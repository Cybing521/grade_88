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<sst xmlns="http://schemas.openxmlformats.org/spreadsheetml/2006/main" count="559" uniqueCount="472">
  <si>
    <t>补中益气人</t>
  </si>
  <si>
    <t>陈颖颖2020</t>
  </si>
  <si>
    <t>各30</t>
  </si>
  <si>
    <t>肌肉质量(kg/m²)-治疗组ASM     r=0.6</t>
  </si>
  <si>
    <t>肌肉质量(kg/m²)-对照组</t>
  </si>
  <si>
    <t>肌肉力量(kg)-治疗组</t>
  </si>
  <si>
    <t>肌肉力量(kg)-对照组</t>
  </si>
  <si>
    <t>肌肉功能(m/s)-治疗组</t>
  </si>
  <si>
    <t>肌肉功能(m/s)-对照组</t>
  </si>
  <si>
    <t>C反应蛋白(mg/L)-治疗组</t>
  </si>
  <si>
    <t>C反应蛋白(mg/L)-对照组</t>
  </si>
  <si>
    <t>前</t>
  </si>
  <si>
    <t>5.71±1.12</t>
  </si>
  <si>
    <t>5.82±1.02</t>
  </si>
  <si>
    <t>21.35±4.36</t>
  </si>
  <si>
    <t>21.07±4.21</t>
  </si>
  <si>
    <t>0.69±0.08</t>
  </si>
  <si>
    <t>0.66±0.12</t>
  </si>
  <si>
    <t>4.98±1.19</t>
  </si>
  <si>
    <t>4.59±1.02</t>
  </si>
  <si>
    <t>后</t>
  </si>
  <si>
    <t>8.23±0.48</t>
  </si>
  <si>
    <t>7.89±0.63</t>
  </si>
  <si>
    <t>27.12±0.64</t>
  </si>
  <si>
    <t>26.42±0.24</t>
  </si>
  <si>
    <t>0.89±0.06</t>
  </si>
  <si>
    <t>0.86±0.05</t>
  </si>
  <si>
    <t>3.12±2.21</t>
  </si>
  <si>
    <t>4.05±1.01</t>
  </si>
  <si>
    <t>差值</t>
  </si>
  <si>
    <t>温春瑜2018</t>
  </si>
  <si>
    <t>肌肉质量(kg/m²)-观察组ASM</t>
  </si>
  <si>
    <t>肌肉力量(kg)-观察组</t>
  </si>
  <si>
    <t>5.21±0.70</t>
  </si>
  <si>
    <t>5.22±0.73</t>
  </si>
  <si>
    <t>21.15±7.32</t>
  </si>
  <si>
    <t>21.21±7.36</t>
  </si>
  <si>
    <t>7.92±0.77</t>
  </si>
  <si>
    <t>6.75±0.74</t>
  </si>
  <si>
    <t>27.96±7.38</t>
  </si>
  <si>
    <t>24.77±7.29</t>
  </si>
  <si>
    <t>指标类别</t>
  </si>
  <si>
    <t>肌肉相关指标</t>
  </si>
  <si>
    <t>日常生活能力</t>
  </si>
  <si>
    <t>炎症指标</t>
  </si>
  <si>
    <t>吕罗岩2021</t>
  </si>
  <si>
    <t>具体指标</t>
  </si>
  <si>
    <t>肌肉质量（kg/m²）研究组</t>
  </si>
  <si>
    <t>对照</t>
  </si>
  <si>
    <t>肌肉力量（kg）</t>
  </si>
  <si>
    <t>肌肉功能（m/s）</t>
  </si>
  <si>
    <t>C反应蛋白（mg/L）</t>
  </si>
  <si>
    <t>n各等于40</t>
  </si>
  <si>
    <t>治疗前）</t>
  </si>
  <si>
    <t>5.22 ± 0.71</t>
  </si>
  <si>
    <t>5.24 ± 0.75</t>
  </si>
  <si>
    <t>21.20 ± 7.03</t>
  </si>
  <si>
    <t>21.27 ± 7.08</t>
  </si>
  <si>
    <t>0.68 ± 0.10</t>
  </si>
  <si>
    <t>0.69 ± 0.11</t>
  </si>
  <si>
    <t>4.67 ± 1.09</t>
  </si>
  <si>
    <t>4.75 ± 1.11</t>
  </si>
  <si>
    <t>治疗后）</t>
  </si>
  <si>
    <t>7.95 ± 0.75</t>
  </si>
  <si>
    <t>6.71 ± 0.71</t>
  </si>
  <si>
    <t>28.01 ± 7.35</t>
  </si>
  <si>
    <t>24.66 ± 7.23</t>
  </si>
  <si>
    <t>0.89 ± 0.05</t>
  </si>
  <si>
    <t>0.72 ± 0.01</t>
  </si>
  <si>
    <t>3.15 ± 1.06</t>
  </si>
  <si>
    <t>4.13 ± 1.08</t>
  </si>
  <si>
    <t>补中益气鼠</t>
  </si>
  <si>
    <t>付夜平2025</t>
  </si>
  <si>
    <t>指标  8weeks</t>
  </si>
  <si>
    <t>腓肠肌总质量/g     8weeks</t>
  </si>
  <si>
    <t>体质量/g</t>
  </si>
  <si>
    <t>腓肠肌指数/%</t>
  </si>
  <si>
    <t>四肢肌力/g（抓力）</t>
  </si>
  <si>
    <t>MyoD mRNA</t>
  </si>
  <si>
    <t>各12</t>
  </si>
  <si>
    <t>KB组</t>
  </si>
  <si>
    <t>4.32±0.47</t>
  </si>
  <si>
    <t>430.8±28.72</t>
  </si>
  <si>
    <t>1.41±0.05</t>
  </si>
  <si>
    <t>1482.21±161.56</t>
  </si>
  <si>
    <t>1.00±0.01</t>
  </si>
  <si>
    <t>MX组</t>
  </si>
  <si>
    <t>2.38±0.64</t>
  </si>
  <si>
    <t>222.8±42.9</t>
  </si>
  <si>
    <t>1.00±0.04</t>
  </si>
  <si>
    <t>745.11±31.76</t>
  </si>
  <si>
    <t>0.76±0.07</t>
  </si>
  <si>
    <t>BZYQT组</t>
  </si>
  <si>
    <t>3.20±0.17</t>
  </si>
  <si>
    <t>246.8±17.51</t>
  </si>
  <si>
    <t>1.06±0.04</t>
  </si>
  <si>
    <t>976.76±80.58</t>
  </si>
  <si>
    <t>1.17±0.03</t>
  </si>
  <si>
    <t>范方馨2020</t>
  </si>
  <si>
    <t>肌湿重  4weeks</t>
  </si>
  <si>
    <t>肌湿重/体重</t>
  </si>
  <si>
    <t>力竭游泳时间</t>
  </si>
  <si>
    <t>对照组</t>
  </si>
  <si>
    <t>2.79±0.16</t>
  </si>
  <si>
    <t>0.77±0.02</t>
  </si>
  <si>
    <t>10.86±1.02</t>
  </si>
  <si>
    <t>各10</t>
  </si>
  <si>
    <t>模型组</t>
  </si>
  <si>
    <t>1.35±0.12</t>
  </si>
  <si>
    <t>0.60±0.03</t>
  </si>
  <si>
    <t>6.30±1.33</t>
  </si>
  <si>
    <t>低剂量</t>
  </si>
  <si>
    <t>1.70±0.12</t>
  </si>
  <si>
    <t>0.64±0.03</t>
  </si>
  <si>
    <t>8.91±1.12</t>
  </si>
  <si>
    <t>高剂量</t>
  </si>
  <si>
    <t>1.71±0.21</t>
  </si>
  <si>
    <t>0.67±0.02</t>
  </si>
  <si>
    <t>11.09±0.94</t>
  </si>
  <si>
    <t>王艺2025   2weeks</t>
  </si>
  <si>
    <t>分组</t>
  </si>
  <si>
    <t>体质量-第15天</t>
  </si>
  <si>
    <t>抓力-第15天</t>
  </si>
  <si>
    <t>MyoD（mRNA）</t>
  </si>
  <si>
    <t>力竭游泳时间-第15天</t>
  </si>
  <si>
    <t>体质量/抓力/游泳/AMP/ATP：7&lt;br&gt;其余：3</t>
  </si>
  <si>
    <t>空白对照组</t>
  </si>
  <si>
    <t>325.88±10.63</t>
  </si>
  <si>
    <t>1692.75±92.92</t>
  </si>
  <si>
    <t>1.3940±0.1203</t>
  </si>
  <si>
    <t>831.00±134.02</t>
  </si>
  <si>
    <t>215.12±17.86</t>
  </si>
  <si>
    <t>1264.63±121.95</t>
  </si>
  <si>
    <t>0.7883±0.0134</t>
  </si>
  <si>
    <t>422.43±158.67</t>
  </si>
  <si>
    <t>补中益气汤低剂量组</t>
  </si>
  <si>
    <t>276.87±18.78</t>
  </si>
  <si>
    <t>1513.25±94.81</t>
  </si>
  <si>
    <t>0.7290±0.0355</t>
  </si>
  <si>
    <t>527.29±98.29</t>
  </si>
  <si>
    <t>补中益气汤中剂量组</t>
  </si>
  <si>
    <t>285.12±16.93</t>
  </si>
  <si>
    <t>1572.50±69.05</t>
  </si>
  <si>
    <t>1.0060±0.1299</t>
  </si>
  <si>
    <t>682.00±101.41</t>
  </si>
  <si>
    <t>补中益气汤高剂量组</t>
  </si>
  <si>
    <t>273.50±20.91</t>
  </si>
  <si>
    <t>腓肠肌指数</t>
  </si>
  <si>
    <t>1451.75±113.51</t>
  </si>
  <si>
    <t>0.8908±0.1392</t>
  </si>
  <si>
    <t>599.14±80.97</t>
  </si>
  <si>
    <t>朱牧2013</t>
  </si>
  <si>
    <t>3.774±0.25</t>
  </si>
  <si>
    <t>各4</t>
  </si>
  <si>
    <t>4.388±0.14</t>
  </si>
  <si>
    <t>补中益气汤组</t>
  </si>
  <si>
    <t>参芪人</t>
  </si>
  <si>
    <t>王蓉芸2025</t>
  </si>
  <si>
    <t xml:space="preserve">指标x±s,M(25,75)
</t>
  </si>
  <si>
    <t>SMI/kg/m²（治疗组）</t>
  </si>
  <si>
    <t>原本是M（P25,P75）,转换成x±s</t>
  </si>
  <si>
    <t>SMI/kg/m²（对照组）</t>
  </si>
  <si>
    <t>握力/kg（治疗组）</t>
  </si>
  <si>
    <t>握力/kg（对照组）</t>
  </si>
  <si>
    <t>五次起坐时间/s（治疗组）</t>
  </si>
  <si>
    <t>五次起坐时间/s（对照组）</t>
  </si>
  <si>
    <t>FRAIL评分/分（治疗组）</t>
  </si>
  <si>
    <t>FRAIL评分/分（对照组）</t>
  </si>
  <si>
    <t>MNA-SF评分/分（治疗组）</t>
  </si>
  <si>
    <t>MNA-SF评分/分（对照组）</t>
  </si>
  <si>
    <t>IPAQ评分/MET-min/周（治疗组）</t>
  </si>
  <si>
    <t>IPAQ评分/MET-min/周（对照组）</t>
  </si>
  <si>
    <t>PSQI评分/分（治疗组）</t>
  </si>
  <si>
    <t>PSQI评分/分（对照组）</t>
  </si>
  <si>
    <t>各75</t>
  </si>
  <si>
    <t>治疗前</t>
  </si>
  <si>
    <t>5.7  1.1</t>
  </si>
  <si>
    <t>5.6   1.1</t>
  </si>
  <si>
    <t>22.6   10</t>
  </si>
  <si>
    <t>20.4    12.5</t>
  </si>
  <si>
    <t>11.1   4.7</t>
  </si>
  <si>
    <t>12.3     6</t>
  </si>
  <si>
    <t>2.0   2</t>
  </si>
  <si>
    <t>2.0    2</t>
  </si>
  <si>
    <t>12.0   1</t>
  </si>
  <si>
    <t>12.0   3</t>
  </si>
  <si>
    <t>693.0    1122</t>
  </si>
  <si>
    <t>462.0   1155</t>
  </si>
  <si>
    <t>8.0   5</t>
  </si>
  <si>
    <t>10.0    7</t>
  </si>
  <si>
    <t>治疗后</t>
  </si>
  <si>
    <t>6.3   1.2</t>
  </si>
  <si>
    <t>5.5   1.1</t>
  </si>
  <si>
    <t>22.3   10.6</t>
  </si>
  <si>
    <t>20.4    7.5</t>
  </si>
  <si>
    <t>8.9    4.8</t>
  </si>
  <si>
    <t>11.0    4.8</t>
  </si>
  <si>
    <t>1.0    2</t>
  </si>
  <si>
    <t>2.0    1</t>
  </si>
  <si>
    <t xml:space="preserve">12.0   2 </t>
  </si>
  <si>
    <t>1386.0     1143.8</t>
  </si>
  <si>
    <t>693.0   1047</t>
  </si>
  <si>
    <t>6.0   3</t>
  </si>
  <si>
    <t>9.0    4</t>
  </si>
  <si>
    <t>Xiaoyan Li2025</t>
  </si>
  <si>
    <t>指标名称（中文含义）</t>
  </si>
  <si>
    <t>SMI (kg/m²) &lt;br&gt;（骨骼肌质量指数）SQP组</t>
  </si>
  <si>
    <t>Handgrip strength (kg) &lt;br&gt;（握力）</t>
  </si>
  <si>
    <t>FTSST (s) &lt;br&gt;（五次起坐时间）</t>
  </si>
  <si>
    <t>FRAIL score &lt;br&gt;（衰弱量表评分）</t>
  </si>
  <si>
    <t>MNA-SF &lt;br&gt;（微型营养评估简表）</t>
  </si>
  <si>
    <t>IPAQ &lt;br&gt;（国际体力活动量表）</t>
  </si>
  <si>
    <t>PSQI &lt;br&gt;（匹兹堡睡眠质量指数）</t>
  </si>
  <si>
    <t>对照组59，实验组58</t>
  </si>
  <si>
    <t>Baseline</t>
  </si>
  <si>
    <t>5.87±0.69 &lt;br&gt;对照组：5.72±0.81</t>
  </si>
  <si>
    <t>20.81±7.48 &lt;br&gt;对照组：20.04±8.61</t>
  </si>
  <si>
    <t>14.31±6.98 &lt;br&gt;对照组：15.13±7.59</t>
  </si>
  <si>
    <t>2.34±0.95 &lt;br&gt;对照组：2.30±0.83</t>
  </si>
  <si>
    <t>11.56±1.60 &lt;br&gt;对照组：11.36±1.95</t>
  </si>
  <si>
    <t>586.85±646.28 &lt;br&gt;对照组：703.14±1099.77</t>
  </si>
  <si>
    <t>9.09±4.12 &lt;br&gt;对照组：9.36±4.20</t>
  </si>
  <si>
    <t>12 weeks</t>
  </si>
  <si>
    <t>6.11±0.80 &lt;br&gt;对照组：5.73±0.78</t>
  </si>
  <si>
    <t>18.83±4.85 &lt;br&gt;对照组：16.69±5.52</t>
  </si>
  <si>
    <t>12.53±4.17 &lt;br&gt;对照组：14.08±9.42</t>
  </si>
  <si>
    <t>2.22±1.08 &lt;br&gt;对照组：2.08±1.01</t>
  </si>
  <si>
    <t>12.34±1.28 &lt;br&gt;对照组：11.59±1.39</t>
  </si>
  <si>
    <t>790.04±1330.77 &lt;br&gt;对照组：281.97±1222.14</t>
  </si>
  <si>
    <t>6.95±3.55 &lt;br&gt;对照组：9.31±3.91</t>
  </si>
  <si>
    <t>八珍人</t>
  </si>
  <si>
    <t>梁清月2019</t>
  </si>
  <si>
    <t>肌肉质量（kg/m²）</t>
  </si>
  <si>
    <t>步速（m/s）</t>
  </si>
  <si>
    <t>各107</t>
  </si>
  <si>
    <t>试验组</t>
  </si>
  <si>
    <t>22.03 ± 4.24</t>
  </si>
  <si>
    <t>22.66 ± 4.01</t>
  </si>
  <si>
    <t>5.33 ± 1.05</t>
  </si>
  <si>
    <t>5.39 ± 1.13</t>
  </si>
  <si>
    <t>0.70 ± 0.04</t>
  </si>
  <si>
    <t>0.71 ± 0.04</t>
  </si>
  <si>
    <t>22.52 ± 4.22</t>
  </si>
  <si>
    <t>23.14 ± 4.96</t>
  </si>
  <si>
    <t>5.36 ± 1.04</t>
  </si>
  <si>
    <t>5.42 ± 1.16</t>
  </si>
  <si>
    <t>1.09 ± 0.06</t>
  </si>
  <si>
    <t>1.12 ± 0.06</t>
  </si>
  <si>
    <t>任璇璇2016</t>
  </si>
  <si>
    <t>肌肉力量</t>
  </si>
  <si>
    <t>肌肉质量</t>
  </si>
  <si>
    <t>步速</t>
  </si>
  <si>
    <t>各45</t>
  </si>
  <si>
    <t xml:space="preserve">治疗前 </t>
  </si>
  <si>
    <r>
      <rPr>
        <sz val="8"/>
        <color rgb="FF231F20"/>
        <rFont val="DLF-3-0-1934190813 + ZIJG6f-47"/>
        <charset val="134"/>
      </rPr>
      <t>21.74</t>
    </r>
    <r>
      <rPr>
        <sz val="8"/>
        <color rgb="FF231F20"/>
        <rFont val="DLF-32771-0-822679090 + ZIJG6f-"/>
        <charset val="134"/>
      </rPr>
      <t>±</t>
    </r>
    <r>
      <rPr>
        <sz val="8"/>
        <color rgb="FF231F20"/>
        <rFont val="DLF-3-0-1934190813 + ZIJG6f-47"/>
        <charset val="134"/>
      </rPr>
      <t>1.38</t>
    </r>
  </si>
  <si>
    <t>22.15    0.96</t>
  </si>
  <si>
    <r>
      <rPr>
        <sz val="8"/>
        <color rgb="FF231F20"/>
        <rFont val="DLF-3-0-1934190813 + ZIJG6f-47"/>
        <charset val="134"/>
      </rPr>
      <t>5.42</t>
    </r>
    <r>
      <rPr>
        <sz val="8"/>
        <color rgb="FF231F20"/>
        <rFont val="DLF-32771-0-822679090 + ZIJG6f-"/>
        <charset val="134"/>
      </rPr>
      <t>±</t>
    </r>
    <r>
      <rPr>
        <sz val="8"/>
        <color rgb="FF231F20"/>
        <rFont val="DLF-3-0-1934190813 + ZIJG6f-47"/>
        <charset val="134"/>
      </rPr>
      <t>0.23</t>
    </r>
  </si>
  <si>
    <t>5.35    0.17</t>
  </si>
  <si>
    <t>0.61±0.01</t>
  </si>
  <si>
    <t>0.59   0.05</t>
  </si>
  <si>
    <r>
      <rPr>
        <sz val="8"/>
        <color rgb="FF231F20"/>
        <rFont val="DLF-3-0-1423277624 + ZIJG6g-56"/>
        <charset val="134"/>
      </rPr>
      <t>31.58</t>
    </r>
    <r>
      <rPr>
        <sz val="8"/>
        <color rgb="FF231F20"/>
        <rFont val="DLF-32771-0-1130916261 + ZIJG6g"/>
        <charset val="134"/>
      </rPr>
      <t>±</t>
    </r>
    <r>
      <rPr>
        <sz val="8"/>
        <color rgb="FF231F20"/>
        <rFont val="DLF-3-0-1423277624 + ZIJG6g-56"/>
        <charset val="134"/>
      </rPr>
      <t>3.12</t>
    </r>
  </si>
  <si>
    <t>26.74   2.38</t>
  </si>
  <si>
    <r>
      <rPr>
        <sz val="8"/>
        <color rgb="FF231F20"/>
        <rFont val="DLF-3-0-1423277624 + ZIJG6g-56"/>
        <charset val="134"/>
      </rPr>
      <t>8.23</t>
    </r>
    <r>
      <rPr>
        <sz val="8"/>
        <color rgb="FF231F20"/>
        <rFont val="DLF-32771-0-1130916261 + ZIJG6g"/>
        <charset val="134"/>
      </rPr>
      <t>±</t>
    </r>
    <r>
      <rPr>
        <sz val="8"/>
        <color rgb="FF231F20"/>
        <rFont val="DLF-3-0-1423277624 + ZIJG6g-56"/>
        <charset val="134"/>
      </rPr>
      <t>0.16</t>
    </r>
  </si>
  <si>
    <t>6.85    0.23</t>
  </si>
  <si>
    <t>1.42±0.03</t>
  </si>
  <si>
    <t>1.11    0.02</t>
  </si>
  <si>
    <t>八珍人 合并心衰</t>
  </si>
  <si>
    <t>参苓白术散人</t>
  </si>
  <si>
    <t>王琴2021</t>
  </si>
  <si>
    <t>握力（Grip strength, kg）</t>
  </si>
  <si>
    <t>四肢骨骼肌指数（ASMI, kg/m²）</t>
  </si>
  <si>
    <t>步行速度（Walking speed, m/s）</t>
  </si>
  <si>
    <t>n各40</t>
  </si>
  <si>
    <t>观察组（治疗前）</t>
  </si>
  <si>
    <t>17.65    4.65</t>
  </si>
  <si>
    <t>16.90    4.45</t>
  </si>
  <si>
    <t>5.20     0.37</t>
  </si>
  <si>
    <t>5.10     0.37</t>
  </si>
  <si>
    <t>0.58    0.1</t>
  </si>
  <si>
    <t>0.56  0.09</t>
  </si>
  <si>
    <t>观察组（治疗后）</t>
  </si>
  <si>
    <t>20.00    5.5</t>
  </si>
  <si>
    <t>18.20    4.57</t>
  </si>
  <si>
    <t>5.80     0.75</t>
  </si>
  <si>
    <t>5.30     0.3</t>
  </si>
  <si>
    <t>0.60    0.09</t>
  </si>
  <si>
    <t>0.58    0.07</t>
  </si>
  <si>
    <t>蒋欢欢2024</t>
  </si>
  <si>
    <t>握力（kg，均值±标准差）</t>
  </si>
  <si>
    <t>6m步速（m/s）</t>
  </si>
  <si>
    <t>对照组119</t>
  </si>
  <si>
    <t>观察组（治疗前/干预前）n118</t>
  </si>
  <si>
    <t>22.83 ± 4.83</t>
  </si>
  <si>
    <t>23.04 ± 5.30</t>
  </si>
  <si>
    <t>6.07 ± 0.68</t>
  </si>
  <si>
    <t>6.03 ± 0.75</t>
  </si>
  <si>
    <t>1.00 ± 0.15</t>
  </si>
  <si>
    <t>1.01 ± 0.13</t>
  </si>
  <si>
    <t>观察组（治疗后/干预后）</t>
  </si>
  <si>
    <t>25.05 ± 5.73</t>
  </si>
  <si>
    <t>23.18 ± 4.98</t>
  </si>
  <si>
    <t>6.44 ± 0.74</t>
  </si>
  <si>
    <t>6.33 ± 0.69</t>
  </si>
  <si>
    <t>1.22 ± 0.14</t>
  </si>
  <si>
    <t>1.20 ± 0.16</t>
  </si>
  <si>
    <t>自拟药方-人</t>
  </si>
  <si>
    <t>陈祎旸2021</t>
  </si>
  <si>
    <t>指标&amp;分组</t>
  </si>
  <si>
    <t>握力-对照组</t>
  </si>
  <si>
    <t>握力-观察组</t>
  </si>
  <si>
    <t>SMI-对照组</t>
  </si>
  <si>
    <t>SMI-观察组</t>
  </si>
  <si>
    <t>步速-对照组</t>
  </si>
  <si>
    <t>步速-观察组</t>
  </si>
  <si>
    <t>23.15±2.28/17.37±2.31</t>
  </si>
  <si>
    <t>23.22±2.32/17.35±2.23</t>
  </si>
  <si>
    <t>6.05±1.95/4.75±1.76</t>
  </si>
  <si>
    <t>6.08±2.01/4.76±1.75</t>
  </si>
  <si>
    <t>0.68±0.05/0.68±0.05</t>
  </si>
  <si>
    <t>0.67±0.06/0.67±0.06</t>
  </si>
  <si>
    <t>24.09±2.51△/17.85±2.45△</t>
  </si>
  <si>
    <t>24.85±2.74＊/18.15±2.52＊</t>
  </si>
  <si>
    <t>6.48±2.03△/5.01±1.92△</t>
  </si>
  <si>
    <t>7.19±2.15＊/5.37±2.11＊</t>
  </si>
  <si>
    <t>0.76±0.04△/0.76±0.04△</t>
  </si>
  <si>
    <t>0.82±0.05＊/0.82±0.05＊</t>
  </si>
  <si>
    <t>敖惠沛2024</t>
  </si>
  <si>
    <t>ASMI-对照组</t>
  </si>
  <si>
    <t>ASMI-观察组</t>
  </si>
  <si>
    <t>6m步速-对照组</t>
  </si>
  <si>
    <t>6m步速-观察组</t>
  </si>
  <si>
    <t>5.58 ± 0.71</t>
  </si>
  <si>
    <t>5.75 ± 0.83</t>
  </si>
  <si>
    <t>14.13 ± 4.85</t>
  </si>
  <si>
    <t>15.84 ± 5.94</t>
  </si>
  <si>
    <t>0.60 ± 0.14</t>
  </si>
  <si>
    <t>0.58 ± 0.14</t>
  </si>
  <si>
    <t>5.82 ± 0.69</t>
  </si>
  <si>
    <t>6.27 ± 0.82</t>
  </si>
  <si>
    <t>15.41 ± 4.83</t>
  </si>
  <si>
    <t>18.39 ± 5.36</t>
  </si>
  <si>
    <t>0.64 ± 0.14</t>
  </si>
  <si>
    <t>0.70 ± 0.14</t>
  </si>
  <si>
    <t>The Influence of Traditional Chinese Medicine Intervention on the Prognosis of Abdominal Obesity Diabetes Patients with Sarcopenia by "Jianpi Shengji" Method</t>
  </si>
  <si>
    <t>探讨“健脾生肌”法中医干预对腹型肥胖糖尿病合并肌肉减少症患者预后的影响</t>
  </si>
  <si>
    <t>“健脾生肌”法中医干预对腹型肥胖糖尿病合并肌肉减少症患者预后的影响_樊鹏翔.pdf</t>
  </si>
  <si>
    <t>樊鹏翔2025</t>
  </si>
  <si>
    <t>2025年能</t>
  </si>
  <si>
    <t>汤剂</t>
  </si>
  <si>
    <t>，自拟中药组方，组方成分：黄芪、龙骨各 30 g，白术、当归、威灵仙各15 g，茯苓、当归、升麻、人参、熟地黄、牛膝、千年健、土元各10 g</t>
  </si>
  <si>
    <t>西医组：仅接受基础治疗
中西医结合组：在西医治疗基础上增加“健脾生肌”法中医干预</t>
  </si>
  <si>
    <t>人；2023年8月至2024年10月间天水市中医医院内分泌一科收治的腹型肥胖糖尿病合并肌肉减少症患者</t>
  </si>
  <si>
    <t xml:space="preserve">
   - 肌肉指数（SMI）
   - 肌肉力量
   - 肌肉功能
### 肌力水平相关指标
- **肌肉指数（SMI，kg/m²）**
  - 中西医组：治疗前4.23±0.35，治疗后8.85±0.52
  - 西医组：治疗前4.31±0.52，治疗后7.11±0.44
- **肌肉力量（kg）**
  - 中西医组：治疗前21.83±3.37，治疗后27.26±2.12
  - 西医组：治疗前21.61±4.36，治疗后25.51±3.37
- **肌肉功能（m/s）**
  - 中西医组：治疗前0.63±0.16，治疗后0.88±0.13
  - 西医组：治疗前0.64±0.12，治疗后0.76±0.15
</t>
  </si>
  <si>
    <t>这项研究是一项定量研究</t>
  </si>
  <si>
    <t>干预时间：
12周
测量指标的时间：
1. 治疗前
2. 治疗12周后</t>
  </si>
  <si>
    <t>样本类型：人  
样本年龄组成：年龄均大于60岁  
样本性别组成：中西医组男性17人，女性13人；西医组男性15人，女性15人  
样本来源地区：甘肃天水</t>
  </si>
  <si>
    <t>合并糖尿病</t>
  </si>
  <si>
    <t>这篇文章中的数据，包括均值和标准差，都是在文中直接呈现的。以下是文章中提到的主要指标及其数据：
### 1. 临床疗效
- **中西医组**：
  - 显效：12例
  - 有效：16例
  - 无效：2例
  - 总有效率：93.33%
- **西医组**：
  - 显效：8例
  - 有效：13例
  - 无效：9例
  - 总有效率：70.00%
### 2. 治疗前后相关检查指标
- **糖化血红蛋白 (HbA1c)**：
  - **中西医组**：
    - 治疗前：8.23 ± 1.35%
    - 治疗后：6.15 ± 0.82%
  - **西医组**：
    - 治疗前：8.11 ± 1.52%
    - 治疗后：6.72 ± 0.64%
- **餐后2小时血糖 (2h postprandial blood glucose)**：
  - **中西医组**：
    - 治疗前：14.58 ± 2.15 mmol/L
    - 治疗后：7.16 ± 1.52 mmol/L
  - **西医组**：
    - 治疗前：14.82 ± 2.20 mmol/L
    - 治疗后：8.88 ± 1.29 mmol/L
- **空腹血糖 (fasting blood glucose)**：
  - **中西医组**：
    - 治疗前：8.62 ± 1.78 mmol/L
    - 治疗后：5.14 ± 1.31 mmol/L
  - **西医组**：
    - 治疗前：8.40 ± 1.29 mmol/L
    - 治疗后：6.41 ± 1.23 mmol/L
- **胰岛素抵抗指数 (IRI)**：
  - **中西医组**：
    - 治疗前：6.83 ± 0.37
    - 治疗后：4.26 ± 0.42
  - **西医组**：
    - 治疗前：6.81 ± 0.42
    - 治疗后：5.51 ± 0.67
- **25-羟基维生素D (25-hydroxyvitamin D)**：
  - **中西医组**：
    - 治疗前：16.23 ± 3.36 mmol/L
    - 治疗后：19.62 ± 3.66 mmol/L
  - **西医组**：
    - 治疗前：16.26 ± 2.22 mmol/L
    - 治疗后：16.26 ± 2.35 mmol/L
### 3. 肌力评估
- **肌肉指数 (SMI)**：
  - **中西医组**：
    - 治疗前：4.23 ± 0.35 kg/m²
    - 治疗后：8.85 ± 0.52 kg/m²
  - **西医组**：
    - 治疗前：4.31 ± 0.52 kg/m²
    - 治疗后：7.11 ± 0.44 kg/m²
- **肌肉力量**：
  - **中西医组**：
    - 治疗前：21.83 ± 3.37 kg
    - 治疗后：27.26 ± 2.12 kg
  - **西医组**：
    - 治疗前：21.61 ± 4.36 kg
    - 治疗后：25.51 ± 3.37 kg
- **肌肉功能 (步速)**：
  - **中西医组**：
    - 治疗前：0.63 ± 0.16 m/s
    - 治疗后：0.88 ± 0.13 m/s
  - **西医组**：
    - 治疗前：0.64 ± 0.12 m/s
    - 治疗后：0.76 ± 0.15 m/s
这些数据均在文章的正文中直接呈现，没有提到有补充材料。</t>
  </si>
  <si>
    <t>评估指标</t>
  </si>
  <si>
    <t>肌肉指数 (SMI)（kg/m²）</t>
  </si>
  <si>
    <t>肌肉功能 (步速)（m/s）</t>
  </si>
  <si>
    <t>组别</t>
  </si>
  <si>
    <t>中西医组  实验组</t>
  </si>
  <si>
    <t>X</t>
  </si>
  <si>
    <t>S</t>
  </si>
  <si>
    <t>西医组  对照组</t>
  </si>
  <si>
    <t>中西医组</t>
  </si>
  <si>
    <t>西医组</t>
  </si>
  <si>
    <t>n</t>
  </si>
  <si>
    <t>4.23 ± 0.35</t>
  </si>
  <si>
    <t>4.31 ± 0.52</t>
  </si>
  <si>
    <t>21.83 ± 3.37</t>
  </si>
  <si>
    <t>21.61 ± 4.36</t>
  </si>
  <si>
    <t>0.63 ± 0.16</t>
  </si>
  <si>
    <t>0.64 ± 0.12</t>
  </si>
  <si>
    <t>8.85 ± 0.52</t>
  </si>
  <si>
    <t>7.11 ± 0.44</t>
  </si>
  <si>
    <t>27.26 ± 2.12</t>
  </si>
  <si>
    <t>25.51 ± 3.37</t>
  </si>
  <si>
    <t>0.88 ± 0.13</t>
  </si>
  <si>
    <t>0.76 ± 0.15</t>
  </si>
  <si>
    <t>ASMI（四肢骨骼肌质量指数, kg/m²）</t>
  </si>
  <si>
    <t>R</t>
  </si>
  <si>
    <t>握力（kg）</t>
  </si>
  <si>
    <t>步速B（m/s）</t>
  </si>
  <si>
    <t>ASM（四肢骨骼肌质量, kg）</t>
  </si>
  <si>
    <t>未提及</t>
  </si>
  <si>
    <t>加味补中益气汤治疗脾肾亏虚型2型糖尿病合并肌少症患者及对血IL-6、TNF-α、CAF影响</t>
  </si>
  <si>
    <t>加味补中益气汤治疗脾肾亏虚型2型糖尿病合并肌少症患者及对血IL-6、TNF-α、CAF影响_王琪.pdf</t>
  </si>
  <si>
    <t>王琪2021</t>
  </si>
  <si>
    <t>2021</t>
  </si>
  <si>
    <t>汤</t>
  </si>
  <si>
    <t>补中益气</t>
  </si>
  <si>
    <t>常规治疗组（R组）：给予钙剂和活性维生素D治疗
加味补中益气汤组（B组）：给予加味补中益气汤联合钙剂、活性维生素D治疗
正常对照组（N组）：不做任何干预</t>
  </si>
  <si>
    <t>研究对象：人；筛选条件：脾肾亏虚型2型糖尿病合并肌少症患者；另选取糖调节正常且无其他基础疾病的健康人作为正常对照组。</t>
  </si>
  <si>
    <t>步速（均值±标准差）、握力（均值±标准差）、四肢骨骼肌质量（ASM）（均值±标准差）、四肢骨骼肌质量指数（ASMI）（均值±标准差）、血清白介素-6 (IL-6)（均值±标准差）、肿瘤坏死因子α（TNF-α）（均值±标准差）、神经-肌接头功能障碍标志物：血清聚集蛋白C 段片段（CAF）水平（均值±标准差）</t>
  </si>
  <si>
    <t>干预时间：
- 12周
测量指标的时间：
- 治疗开始前
- 治疗3个月后</t>
  </si>
  <si>
    <t>根据提供的文件内容，以下是样本情况的详细信息：
### 样本类型
- **人**
### 样本的年龄组成
- 平均年龄范围：60-80岁
- 具体年龄分布：
  - B组（加味补中益气汤组）：平均年龄69.68±4.09岁
  - R组（常规治疗组）：平均年龄69.10±5.28岁
  - N组（正常对照组）：平均年龄68.14±4.67岁
### 样本的性别组成
- B组（加味补中益气汤组）：男性22例（55%），女性18例（45%）
- R组（常规治疗组）：男性23例（57.5%），女性17例（42.5%）
- N组（正常对照组）：男性20例（50%），女性20例（50%）
### 样本来源地区
- 上海中医药大学附属普陀医院内分泌科门诊和病房住院的患者
以上信息均直接引用自提供的文件内容。</t>
  </si>
  <si>
    <t>合并2型糖尿病</t>
  </si>
  <si>
    <t>这篇文章中提到了多个指标的数据，包括均值和标准差。这些数据主要在文中呈现，具体如下：
### 1. 治疗前后的生化指标比较
- **血常规** (WBC、RBC、Hb) 和 **肝肾功能** (ALT、SCr)：
  - **B组**：WBC (6.71±1.19×10^9/L), RBC (4.68±0.71×10^12/L), Hb (135.60±18.47 g/L), ALT (23.81±8.55 U/L), SCr (53.34±14.82 μmol/L)
  - **R组**：WBC (6.93±1.34×10^9/L), RBC (4.59±0.66×10^12/L), Hb (137.38±18.98 g/L), ALT (24.53±9.47 U/L), SCr (53.63±16.65 μmol/L)
  - **N组**：WBC (6.93±1.55×10^9/L), RBC (4.39±0.70×10^12/L), Hb (134.72±17.37 g/L), ALT (25.13±8.60 U/L), SCr (52.01±15.77 μmol/L)
### 2. 治疗前后的血糖水平比较
- **FBG** (空腹血糖)、**2h PBG** (餐后2小时血糖)、**HbA1c** (糖化血红蛋白)：
  - **B组**：FBG (8.50±1.58 mmol/L), 2h PBG (10.38±1.40 mmol/L), HbA1c (8.85±0.90%)
  - **R组**：FBG (8.25±1.32 mmol/L), 2h PBG (10.84±1.70 mmol/L), HbA1c (8.72±0.88%)
  - **N组**：FBG (4.49±0.38 mmol/L), 2h PBG (5.85±0.33 mmol/L), HbA1c (5.51±0.24%)
### 3. 治疗前后的肌量肌力比较
- **步速** (m/s)、**握力** (kg)、**ASM** (四肢骨骼肌质量, kg)、**ASMI** (四肢骨骼肌质量指数, kg/m²)：
  - **B组**：步速 (0.81±0.14 m/s), 握力 (20.63±3.47 kg), ASM (16.25±2.63 kg), ASMI (5.57±0.53 kg/m²)
  - **R组**：步速 (0.83±0.15 m/s), 握力 (20.58±2.93 kg), ASM (16.63±2.06 kg), ASMI (5.69±0.49 kg/m²)
  - **N组**：步速 (1.19±0.14 m/s), 握力 (31.88±4.90 kg), ASM (25.63±2.08 kg), ASMI (9.47±1.18 kg/m²)
### 4. 治疗前后的炎症因子和CAF比较
- **IL-6** (白细胞介素6, pg/ml)、**TNF-α** (肿瘤坏死因子α, pg/ml)、**CAF** (聚集蛋白C段片段, ng/ml)：
  - **B组**：IL-6 (10.14±3.06 pg/ml), TNF-α (16.42±4.06 pg/ml), CAF (3.61±1.57 ng/ml)
  - **R组**：IL-6 (10.04±2.42 pg/ml), TNF-α (16.16±5.09 pg/ml), CAF (3.68±1.61 ng/ml)
  - **N组**：IL-6 (6.42±3.31 pg/ml), TNF-α (9.97±5.68 pg/ml), CAF (1.64±0.51 ng/ml)
### 5. 治疗前后中医证候积分比较
- **中医证候总积分**：
  - **B组**：治疗前 (11.85±2.33), 治疗后 (9.88±1.40)
  - **R组**：治疗前 (12.00±2.54), 治疗后 (11.50±2.05)
  - **N组**：2.63±1.64
这些数据均在文中直接呈现，没有提及补充材料中的数据。</t>
  </si>
  <si>
    <t>B组</t>
  </si>
  <si>
    <t>5.57±0.53</t>
  </si>
  <si>
    <t>5.69±0.49</t>
  </si>
  <si>
    <t>20.63±3.47</t>
  </si>
  <si>
    <t>20.58±2.93</t>
  </si>
  <si>
    <t>0.81±0.14</t>
  </si>
  <si>
    <t>0.83±0.15</t>
  </si>
  <si>
    <t>16.25±2.63</t>
  </si>
  <si>
    <t>16.63±2.06</t>
  </si>
  <si>
    <t>R组</t>
  </si>
  <si>
    <t>N组</t>
  </si>
  <si>
    <t>9.47±1.18</t>
  </si>
  <si>
    <t>31.88±4.90</t>
  </si>
  <si>
    <t>1.19±0.14</t>
  </si>
  <si>
    <t>25.63±2.08</t>
  </si>
  <si>
    <t>曲美他嗪联合八珍汤治疗老年慢性心衰合并肌少症的临床效果</t>
  </si>
  <si>
    <t>曲美他嗪联合八珍汤治疗老年慢性心衰合并肌少症的临床效果_郝媛媛.pdf</t>
  </si>
  <si>
    <t>郝媛媛2021</t>
  </si>
  <si>
    <r>
      <rPr>
        <sz val="9.1"/>
        <color rgb="FF231F20"/>
        <rFont val="KTJ + ZELCGS-12"/>
        <charset val="134"/>
      </rPr>
      <t>八珍</t>
    </r>
    <r>
      <rPr>
        <sz val="9.1"/>
        <color rgb="FF231F20"/>
        <rFont val="KTJ + ZELCGR-1"/>
        <charset val="134"/>
      </rPr>
      <t>汤</t>
    </r>
    <r>
      <rPr>
        <sz val="9.1"/>
        <color rgb="FF231F20"/>
        <rFont val="KTJ + ZELCGR-6"/>
        <charset val="134"/>
      </rPr>
      <t>，</t>
    </r>
    <r>
      <rPr>
        <sz val="9.1"/>
        <color rgb="FF231F20"/>
        <rFont val="KTJ + ZELCGS-16"/>
        <charset val="134"/>
      </rPr>
      <t>组</t>
    </r>
    <r>
      <rPr>
        <sz val="9.1"/>
        <color rgb="FF231F20"/>
        <rFont val="KTJ + ZELCGS-11"/>
        <charset val="134"/>
      </rPr>
      <t>方</t>
    </r>
    <r>
      <rPr>
        <sz val="9.1"/>
        <color rgb="FF231F20"/>
        <rFont val="KTJ + ZELCGR-6"/>
        <charset val="134"/>
      </rPr>
      <t>：</t>
    </r>
    <r>
      <rPr>
        <sz val="9.1"/>
        <color rgb="FF231F20"/>
        <rFont val="KTJ + ZELCGR-1"/>
        <charset val="134"/>
      </rPr>
      <t>白术</t>
    </r>
    <r>
      <rPr>
        <sz val="9.1"/>
        <color rgb="FF231F20"/>
        <rFont val="KTJ + ZELCGS-8"/>
        <charset val="134"/>
      </rPr>
      <t>、</t>
    </r>
    <r>
      <rPr>
        <sz val="9.1"/>
        <color rgb="FF231F20"/>
        <rFont val="KTJ + ZELCGS-11"/>
        <charset val="134"/>
      </rPr>
      <t>人</t>
    </r>
    <r>
      <rPr>
        <sz val="9.1"/>
        <color rgb="FF231F20"/>
        <rFont val="KTJ + ZELCGR-1"/>
        <charset val="134"/>
      </rPr>
      <t>参</t>
    </r>
    <r>
      <rPr>
        <sz val="9.1"/>
        <color rgb="FF231F20"/>
        <rFont val="KTJ + ZELCGS-8"/>
        <charset val="134"/>
      </rPr>
      <t>、</t>
    </r>
    <r>
      <rPr>
        <sz val="9.1"/>
        <color rgb="FF231F20"/>
        <rFont val="KTJ + ZELCGR-5"/>
        <charset val="134"/>
      </rPr>
      <t>甘草</t>
    </r>
    <r>
      <rPr>
        <sz val="9.1"/>
        <color rgb="FF231F20"/>
        <rFont val="KTJ + ZELCGS-8"/>
        <charset val="134"/>
      </rPr>
      <t>、</t>
    </r>
    <r>
      <rPr>
        <sz val="9.1"/>
        <color rgb="FF231F20"/>
        <rFont val="KTJ + ZELCGV-56"/>
        <charset val="134"/>
      </rPr>
      <t>茯</t>
    </r>
    <r>
      <rPr>
        <sz val="9.1"/>
        <color rgb="FF231F20"/>
        <rFont val="KTJ + ZELCGR-1"/>
        <charset val="134"/>
      </rPr>
      <t>苓</t>
    </r>
    <r>
      <rPr>
        <sz val="9.1"/>
        <color rgb="FF231F20"/>
        <rFont val="KTJ + ZELCGS-8"/>
        <charset val="134"/>
      </rPr>
      <t>、</t>
    </r>
    <r>
      <rPr>
        <sz val="9.1"/>
        <color rgb="FF231F20"/>
        <rFont val="KTJ + ZELCGV-56"/>
        <charset val="134"/>
      </rPr>
      <t>川</t>
    </r>
    <r>
      <rPr>
        <sz val="9.1"/>
        <color rgb="FF231F20"/>
        <rFont val="KTJ + ZELCGX-86"/>
        <charset val="134"/>
      </rPr>
      <t>芎</t>
    </r>
    <r>
      <rPr>
        <sz val="9.1"/>
        <color rgb="FF231F20"/>
        <rFont val="KTJ + ZELCGS-8"/>
        <charset val="134"/>
      </rPr>
      <t>、</t>
    </r>
    <r>
      <rPr>
        <sz val="9.1"/>
        <color rgb="FF231F20"/>
        <rFont val="KTJ + ZELCGV-56"/>
        <charset val="134"/>
      </rPr>
      <t>熟</t>
    </r>
    <r>
      <rPr>
        <sz val="9.1"/>
        <color rgb="FF231F20"/>
        <rFont val="KTJ + ZELCGR-1"/>
        <charset val="134"/>
      </rPr>
      <t xml:space="preserve">地 </t>
    </r>
    <r>
      <rPr>
        <sz val="9.1"/>
        <color rgb="FF231F20"/>
        <rFont val="KTJ + ZELCGR-6"/>
        <charset val="134"/>
      </rPr>
      <t>黄</t>
    </r>
    <r>
      <rPr>
        <sz val="9.1"/>
        <color rgb="FF231F20"/>
        <rFont val="KTJ + ZELCGS-8"/>
        <charset val="134"/>
      </rPr>
      <t>、</t>
    </r>
    <r>
      <rPr>
        <sz val="9.1"/>
        <color rgb="FF231F20"/>
        <rFont val="KTJ + ZELCGR-6"/>
        <charset val="134"/>
      </rPr>
      <t>当归</t>
    </r>
    <r>
      <rPr>
        <sz val="9.1"/>
        <color rgb="FF231F20"/>
        <rFont val="KTJ + ZELCGS-8"/>
        <charset val="134"/>
      </rPr>
      <t>、</t>
    </r>
    <r>
      <rPr>
        <sz val="9.1"/>
        <color rgb="FF231F20"/>
        <rFont val="KTJ + ZELCGR-1"/>
        <charset val="134"/>
      </rPr>
      <t>白</t>
    </r>
    <r>
      <rPr>
        <sz val="9.1"/>
        <color rgb="FF231F20"/>
        <rFont val="KTJ + ZELCGS-11"/>
        <charset val="134"/>
      </rPr>
      <t>芍</t>
    </r>
    <r>
      <rPr>
        <sz val="9.1"/>
        <color rgb="FF231F20"/>
        <rFont val="KTJ + ZELCGT-30"/>
        <charset val="134"/>
      </rPr>
      <t xml:space="preserve">各 </t>
    </r>
    <r>
      <rPr>
        <sz val="9.1"/>
        <color rgb="FF231F20"/>
        <rFont val="DLF-3-0-434443988 + ZELCGi-278"/>
        <charset val="134"/>
      </rPr>
      <t>9 g</t>
    </r>
  </si>
  <si>
    <t>参照组：常规营养支持及曲美他嗪治疗
研究组：在常规营养支持及曲美他嗪治疗基础上加用八珍汤治疗</t>
  </si>
  <si>
    <t>人；2017年1月至2020年2月期间某院收治的老年慢性心衰合并肌少症患者</t>
  </si>
  <si>
    <t>根据PICOS原则，这篇文章的O（Outcome，结局指标）包括以下几个方面：
1. 心功能指标：
   - 左室射血分数（LVEF）：治疗后研究组高于参照组，差异有统计学意义（P&lt;0.05）。
   - 左室舒张末径（LVEDD）：治疗后研究组低于参照组，差异有统计学意义（P&lt;0.05）。
   - 左室收缩内径（LVESD）：治疗后研究组低于参照组，差异有统计学意义（P&lt;0.05）。
2. 肌肉质量：
   - 肌肉质量（kg/m²）：治疗后研究组高于参照组，差异有统计学意义（P&lt;0.05）。
3. 肌肉力量：
   - 握力（kg）：治疗后研究组高于参照组，差异有统计学意义（P&lt;0.05）。
结局指标和数据类型如下：
- LVEF（%）：治疗后研究组46.48±6.15，参照组40.22±6.08。
- LVEDD（mm）：治疗后研究组56.49±5.76，参照组61.98±6.21。
- LVESD（mm）：治疗后研究组46.73±5.33，参照组50.48±5.68。
- 肌肉质量（kg/m²）：治疗后研究组6.01±1.06，参照组5.35±1.05。
- 肌肉力量（kg）：治疗后研究组24.65±1.61，参照组21.36±1.58。</t>
  </si>
  <si>
    <t>干预时间：连续用药3个月
测量指标的时间：分别于治疗前、治疗后</t>
  </si>
  <si>
    <t>样本类型：人  
样本的年龄组成：61~79岁  
样本的性别组成：男性25例，女性24例  
样本来源地区：天津市</t>
  </si>
  <si>
    <t>合并心衰</t>
  </si>
  <si>
    <t>这篇文章中提到的指标数据，包括均值和标准差，都在文中直接呈现了。以下是文中提到的各个指标的具体数据：
### 心功能指标
- **LVEF（左室射血分数）**
  - 治疗前：
    - 参照组：37.52 ± 5.14
    - 研究组：37.31 ± 5.08
  - 治疗后：
    - 参照组：40.22 ± 6.08
    - 研究组：46.48 ± 6.15
- **LVEDD（左室舒张末径）**
  - 治疗前：
    - 参照组：64.95 ± 8.24
    - 研究组：65.13 ± 8.32
  - 治疗后：
    - 参照组：61.98 ± 8.41
    - 研究组：56.49 ± 8.54
- **LVESD（左室收缩内径）**
  - 治疗前：
    - 参照组：56.21 ± 5.68
    - 研究组：55.82 ± 5.76
  - 治疗后：
    - 参照组：50.48 ± 5.27
    - 研究组：46.73 ± 5.33
### 肌肉质量指标
- **肌肉质量（kg/m²）**
  - 治疗前：
    - 参照组：5.35 ± 1.05
    - 研究组：5.32 ± 1.01
  - 治疗后：
    - 参照组：6.01 ± 1.06
    - 研究组：6.01 ± 1.06
### 肌肉力量指标
- **肌肉力量（kg）**
  - 治疗前：
    - 参照组：20.08 ± 1.53
    - 研究组：20.07 ± 1.55
  - 治疗后：
    - 参照组：21.36 ± 1.58
    - 研究组：24.65 ± 1.61
这些数据均在文中直接呈现，没有提到有补充材料。</t>
  </si>
  <si>
    <t>研究组</t>
  </si>
  <si>
    <t>均值</t>
  </si>
  <si>
    <t>标准差</t>
  </si>
  <si>
    <t>肌肉力量研究组</t>
  </si>
  <si>
    <t>参照组</t>
  </si>
  <si>
    <t>5.32 ± 1.01</t>
  </si>
  <si>
    <t>5.35 ± 1.05</t>
  </si>
  <si>
    <t>20.07 ± 1.55</t>
  </si>
  <si>
    <t>20.08 ± 1.53</t>
  </si>
  <si>
    <t>6.01 ± 1.06</t>
  </si>
  <si>
    <t>24.65 ± 1.61</t>
  </si>
  <si>
    <t>21.36 ± 1.58</t>
  </si>
  <si>
    <t>Observation of curative effect of Bazhen Decoction combined with intensive nutrition and resistance exercise training on aged chronic heart failure with sarcopenia</t>
  </si>
  <si>
    <t>八珍汤配合强化营养及抗阻运动训练治疗老年慢性心力衰竭合并肌肉减少症疗效观察</t>
  </si>
  <si>
    <t>八珍汤配合强化营养及抗阻运动训练治疗老年慢性心力衰竭合并肌肉减少症疗效观察_李瑶.pdf</t>
  </si>
  <si>
    <t>李瑶2020</t>
  </si>
  <si>
    <t>2020</t>
  </si>
  <si>
    <t>八珍汤治疗，组方: 人参 12 g、
砂仁 12 g、熟地黄 15 g、白术 12 g、茯苓 15 g、当归 12
g、川芎 15 g、白芍 12 g、甘草 6 g</t>
  </si>
  <si>
    <t>对照组：抗阻运动训练+强化营养治疗
观察组：抗阻运动训练+强化营养治疗+八珍汤治疗</t>
  </si>
  <si>
    <t>研究对象：人；筛选条件：解放军第960医院2016年1月至2018年1月收治的老年慢性心力衰竭合并肌肉减少症患者</t>
  </si>
  <si>
    <t>结局指标和数据类型：
中医症状积分（均值±标准差）
心功能指标：左室射血分数（LVEF）（均值±标准差）、左室舒张末期内径（LVEDD）（均值±标准差）、E/A（均值±标准差）、血清N末端B型利钠肽原（NT-proBNP）水平（均值±标准差）
骨骼肌功能相关指标：骨骼肌质量指数（均值±标准差）、握力（均值±标准差）、步速（均值±标准差）、5次起坐试验时间（均值±标准差）
营养学指标：BMI（均值±标准差）、血红蛋白（Hb）（均值±标准差）、血清白蛋白（ALB）（均值±标准差）、血清前白蛋白（PA）（均值±标准差）、血清转铁蛋白（TRF）（均值±标准差）、小腿围（均值±标准差）、肱三头肌皮褶厚度（TSF）（均值±标准差）、上臂肌围（AMC）（均值±标准差）
炎性因子水平：血清超敏C反应蛋白（hs-CRP）（均值±标准差）、白细胞介素-6（IL-6）（均值±标准差）
体能活动、运动耐量、生活质量：简易体能状况量表（SPPB）评分（均值±标准差）、6分钟步行试验（6MWT）（均值±标准差）、日常活动能力评分（ADL）（均值±标准差）、明尼苏达州心力衰竭生活质量量表（MLHFQ）评分（均值±标准差）</t>
  </si>
  <si>
    <t>干预时间：
- 12周
测量指标的时间：
- 治疗前后</t>
  </si>
  <si>
    <t>样本类型：人  
样本的年龄组成：年龄&gt;60岁  
样本的性别组成：男30例，女25例；男32例，女23例  
样本来源地区：山东济南</t>
  </si>
  <si>
    <t>这篇文章中提到的各个指标的数据，包括均值和标准差，都直接在文中呈现了。以下是一些关键指标的数据摘要：
### 1. 中医症状积分
- **治疗前**：
  - 观察组：胸闷憋气 2.13 ± 0.38，体倦乏力 2.30 ± 0.52，食少纳呆 2.12 ± 0.47，肢体水肿 1.97 ± 0.37，神疲懒言 2.11 ± 0.42，面色萎黄 1.93 ± 0.44，口淡不渴 2.14 ± 0.48，总积分 14.80 ± 4.17。
  - 对照组：胸闷憋气 2.19 ± 0.40，体倦乏力 2.23 ± 0.48，食少纳呆 2.14 ± 0.50，肢体水肿 1.95 ± 0.39，神疲懒言 2.13 ± 0.39，面色萎黄 1.96 ± 0.42，口淡不渴 2.10 ± 0.43，总积分 15.12 ± 4.20。
- **治疗后**：
  - 观察组：胸闷憋气 0.69 ± 0.21，体倦乏力 0.79 ± 0.23，食少纳呆 0.71 ± 0.20，肢体水肿 0.62 ± 0.16，神疲懒言 0.73 ± 0.18，面色萎黄 0.71 ± 0.15，口淡不渴 0.68 ± 0.16，总积分 4.59 ± 1.13。
  - 对照组：胸闷憋气 1.04 ± 0.21，体倦乏力 1.10 ± 0.25，食少纳呆 1.05 ± 0.22，肢体水肿 0.98 ± 0.20，神疲懒言 1.07 ± 0.31，面色萎黄 1.03 ± 0.21，口淡不渴 1.04 ± 0.24，总积分 7.31 ± 1.58。
### 2. 心功能相关指标
- **治疗前**：
  - 观察组：LVEF 42.23 ± 7.42%，LVEDD 59.50 ± 5.20 mm，E/A 0.84 ± 0.19，NT-proBNP 1897.49 ± 430.70 ng/L。
  - 对照组：LVEF 43.30 ± 8.39%，LVEDD 60.11 ± 5.32 mm，E/A 0.82 ± 0.18，NT-proBNP 1903.31 ± 510.29 ng/L。
- **治疗后**：
  - 观察组：LVEF 55.94 ± 7.76%，LVEDD 55.41 ± 4.56 mm，E/A 1.19 ± 0.20，NT-proBNP 425.39 ± 104.50 ng/L。
  - 对照组：LVEF 51.30 ± 7.10%，LVEDD 58.48 ± 4.72 mm，E/A 1.06 ± 0.17，NT-proBNP 610.43 ± 221.49 ng/L。
### 3. 骨骼肌功能相关指标
- **治疗前**：
  - 观察组：骨骼肌质量指数 5.24 ± 1.23 kg/m²，握力 18.22 ± 4.74 kg，步速 0.71 ± 0.19 m/s，5次起坐试验 13.39 ± 2.45 s。
  - 对照组：骨骼肌质量指数 5.29 ± 1.21 kg/m²，握力 18.81 ± 4.60 kg，步速 0.70 ± 0.18 m/s，5次起坐试验 13.43 ± 2.19 s。
- **治疗后**：
  - 观察组：骨骼肌质量指数 8.10 ± 1.15 kg/m²，握力 24.40 ± 4.20 kg，步速 0.96 ± 0.31 m/s，5次起坐试验 10.21 ± 1.78 s。
  - 对照组：骨骼肌质量指数 6.87 ± 1.10 kg/m²，握力 21.23 ± 4.19 kg，步速 0.84 ± 0.27 m/s，5次起坐试验 11.87 ± 2.20 s。
### 4. 营养状态相关指标
- **治疗前**：
  - 观察组：BMI 19.20 ± 2.30 kg/m²，Hb 109.50 ± 15.28 g/L，ALB 31.20 ± 5.32 g/L，PA 189.49 ± 21.19 mg/L，TRF 1.72 ± 0.48 g/L，小腿围 35.65 ± 3.18 cm，AMC 16.32 ± 2.20 mm，TSF 8.40 ± 1.23 mm。
  - 对照组：BMI 19.18 ± 2.18 kg/m²，Hb 107.11 ± 18.30 g/L，ALB 31.31 ± 5.19 g/L，PA 187.31 ± 23.40 mg/L，TRF 1.69 ± 0.50 g/L，小腿围 32.30 ± 3.31 cm，AMC 19.24 ± 2.18 mm，TSF 8.31 ± 1.29 mm。
- **治疗后**：
  - 观察组：BMI 23.14 ± 2.76 kg/m²，Hb 132.50 ± 14.28 g/L，ALB 36.45 ± 5.23 g/L，PA 232.30 ± 19.13 mg/L，TRF 2.94 ± 0.83 g/L，小腿围 32.19 ± 2.31 cm，AMC 12.40 ± 1.59 mm，TSF 29.20 ± 3.20 mm。
  - 对照组：BMI 21.69 ± 2.57 kg/m²，Hb 121.32 ± 14.50 g/L，ALB 34.14 ± 5.10 g/L，PA 211.45 ± 17.30 mg/L，TRF 2.52 ± 0.67 g/L，小腿围 22.19 ± 2.31 cm，AMC 10.31 ± 1.47 mm，TSF 29.12 ± 3.32 mm。
### 5. 炎性因子水平
- **治疗前**：
  - 观察组：hs-CRP 8.50 ± 2.10 mg/L，IL-6 38.49 ± 6.71 ng/L。
  - 对照组：hs-CRP 8.19 ± 2.24 mg/L，IL-6 39.31 ± 5.24 ng/L。
- **治疗后**：
  - 观察组：hs-CRP 3.30 ± 0.94 mg/L，IL-6 16.39 ± 3.81 ng/L。
  - 对照组：hs-CRP 5.27 ± 1.45 mg/L，IL-6 22.43 ± 4.50 ng/L。
### 6. 体能活动、运动耐量、生活质量评分
- **治疗前**：
  - 观察组：SPPB 评分 5.95 ± 2.15 分，6MWT 271.50 ± 50.29 m，ADL 评分 62.10 ± 15.71 分，MLHFQ 评分 59.11 ± 14.78 分。
  - 对照组：SPPB 评分 5.91 ± 2.23 分，6MWT 272.11 ± 53.40 m，ADL 评分 61.78 ± 14.40 分，MLHFQ 评分 57.89 ± 17.20 分。
- **治疗后**：
  - 观察组：SPPB 评分 9.83 ± 1.76 分，6MWT 338.48 ± 45.11 m，ADL 评分 82.50 ± 9.24 分，MLHFQ 评分 79.98 ± 10.31 分。
  - 对照组：SPPB 评分 8.20 ± 1.95 分，6MWT 304.40 ± 49.40 m，ADL 评分 74.13 ± 10.39 分，MLHFQ 评分 72.10 ± 11.48 分。
这些数据均直接在文中呈现，没有提到有补充材料。</t>
  </si>
  <si>
    <t>骨骼肌功能相关指标</t>
  </si>
  <si>
    <t>骨骼肌质量指数（kg/m²）</t>
  </si>
  <si>
    <t>5次起坐试验（s）</t>
  </si>
  <si>
    <t>观察组</t>
  </si>
  <si>
    <t>5.24 ± 1.23</t>
  </si>
  <si>
    <t>5.29 ± 1.21</t>
  </si>
  <si>
    <t>18.22 ± 4.74</t>
  </si>
  <si>
    <t>18.81 ± 4.60</t>
  </si>
  <si>
    <t>0.71 ± 0.19</t>
  </si>
  <si>
    <t>0.70 ± 0.18</t>
  </si>
  <si>
    <t>13.39 ± 2.45</t>
  </si>
  <si>
    <t>13.43 ± 2.19</t>
  </si>
  <si>
    <t>8.10 ± 1.15</t>
  </si>
  <si>
    <t>6.87 ± 1.10</t>
  </si>
  <si>
    <t>24.40 ± 4.20</t>
  </si>
  <si>
    <t>21.23 ± 4.19</t>
  </si>
  <si>
    <t>0.96 ± 0.31</t>
  </si>
  <si>
    <t>0.84 ± 0.27</t>
  </si>
  <si>
    <t>0.96</t>
  </si>
  <si>
    <t>0.31</t>
  </si>
  <si>
    <t>10.21 ± 1.78</t>
  </si>
  <si>
    <t>11.87 ± 2.20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</si>
</sst>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3">
    <font>
      <sz val="11"/>
      <color theme="1"/>
      <name val="宋体"/>
      <charset val="134"/>
      <scheme val="minor"/>
    </font>
    <font>
      <sz val="11"/>
      <color theme="1"/>
      <name val="DengXian"/>
      <charset val="134"/>
    </font>
    <font>
      <sz val="10"/>
      <color rgb="FF000000"/>
      <name val="DengXian"/>
      <charset val="134"/>
    </font>
    <font>
      <sz val="9.1"/>
      <color rgb="FF231F20"/>
      <name val="KTJ + ZELCGS-12"/>
      <charset val="134"/>
    </font>
    <font>
      <sz val="10"/>
      <color theme="1"/>
      <name val="DengXian"/>
      <charset val="134"/>
    </font>
    <font>
      <sz val="10"/>
      <color theme="1"/>
      <name val="宋体"/>
      <charset val="134"/>
      <scheme val="minor"/>
    </font>
    <font>
      <sz val="11"/>
      <color theme="1"/>
      <name val="DengXian"/>
      <charset val="134"/>
    </font>
    <font>
      <sz val="10"/>
      <color rgb="FFFF0000"/>
      <name val="宋体"/>
      <charset val="134"/>
      <scheme val="minor"/>
    </font>
    <font>
      <b/>
      <sz val="10"/>
      <color theme="1"/>
      <name val="DengXian"/>
      <charset val="134"/>
    </font>
    <font>
      <sz val="7.95"/>
      <color rgb="FF231F20"/>
      <name val="DLF-3-0-1934190813 + ZIJG6f-47"/>
      <charset val="134"/>
    </font>
    <font>
      <sz val="8"/>
      <color rgb="FF231F20"/>
      <name val="DLF-3-0-1934190813 + ZIJG6f-47"/>
      <charset val="134"/>
    </font>
    <font>
      <sz val="8"/>
      <color rgb="FF231F20"/>
      <name val="DLF-3-0-1423277624 + ZIJG6g-56"/>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rgb="FF231F20"/>
      <name val="DLF-32771-0-822679090 + ZIJG6f-"/>
      <charset val="134"/>
    </font>
    <font>
      <sz val="8"/>
      <color rgb="FF231F20"/>
      <name val="DLF-32771-0-1130916261 + ZIJG6g"/>
      <charset val="134"/>
    </font>
    <font>
      <sz val="9.1"/>
      <color rgb="FF231F20"/>
      <name val="KTJ + ZELCGR-1"/>
      <charset val="134"/>
    </font>
    <font>
      <sz val="9.1"/>
      <color rgb="FF231F20"/>
      <name val="KTJ + ZELCGR-6"/>
      <charset val="134"/>
    </font>
    <font>
      <sz val="9.1"/>
      <color rgb="FF231F20"/>
      <name val="KTJ + ZELCGS-16"/>
      <charset val="134"/>
    </font>
    <font>
      <sz val="9.1"/>
      <color rgb="FF231F20"/>
      <name val="KTJ + ZELCGS-11"/>
      <charset val="134"/>
    </font>
    <font>
      <sz val="9.1"/>
      <color rgb="FF231F20"/>
      <name val="KTJ + ZELCGS-8"/>
      <charset val="134"/>
    </font>
    <font>
      <sz val="9.1"/>
      <color rgb="FF231F20"/>
      <name val="KTJ + ZELCGR-5"/>
      <charset val="134"/>
    </font>
    <font>
      <sz val="9.1"/>
      <color rgb="FF231F20"/>
      <name val="KTJ + ZELCGV-56"/>
      <charset val="134"/>
    </font>
    <font>
      <sz val="9.1"/>
      <color rgb="FF231F20"/>
      <name val="KTJ + ZELCGX-86"/>
      <charset val="134"/>
    </font>
    <font>
      <sz val="9.1"/>
      <color rgb="FF231F20"/>
      <name val="KTJ + ZELCGT-30"/>
      <charset val="134"/>
    </font>
    <font>
      <sz val="9.1"/>
      <color rgb="FF231F20"/>
      <name val="DLF-3-0-434443988 + ZELCGi-278"/>
      <charset val="134"/>
    </font>
  </fonts>
  <fills count="42">
    <fill>
      <patternFill patternType="none"/>
    </fill>
    <fill>
      <patternFill patternType="gray125"/>
    </fill>
    <fill>
      <patternFill patternType="solid">
        <fgColor theme="3" tint="0.8"/>
        <bgColor indexed="64"/>
      </patternFill>
    </fill>
    <fill>
      <patternFill patternType="solid">
        <fgColor theme="4" tint="0.8"/>
        <bgColor indexed="64"/>
      </patternFill>
    </fill>
    <fill>
      <patternFill patternType="solid">
        <fgColor theme="7" tint="0.8"/>
        <bgColor indexed="64"/>
      </patternFill>
    </fill>
    <fill>
      <patternFill patternType="solid">
        <fgColor rgb="FFFFFF00"/>
        <bgColor indexed="64"/>
      </patternFill>
    </fill>
    <fill>
      <patternFill patternType="solid">
        <fgColor theme="0" tint="-0.15"/>
        <bgColor indexed="64"/>
      </patternFill>
    </fill>
    <fill>
      <patternFill patternType="solid">
        <fgColor theme="5" tint="0.8"/>
        <bgColor indexed="64"/>
      </patternFill>
    </fill>
    <fill>
      <patternFill patternType="solid">
        <fgColor theme="4"/>
        <bgColor indexed="64"/>
      </patternFill>
    </fill>
    <fill>
      <patternFill patternType="solid">
        <fgColor theme="6" tint="0.8"/>
        <bgColor indexed="64"/>
      </patternFill>
    </fill>
    <fill>
      <patternFill patternType="solid">
        <fgColor theme="9" tint="0.6"/>
        <bgColor indexed="64"/>
      </patternFill>
    </fill>
    <fill>
      <patternFill patternType="solid">
        <fgColor rgb="FFF2F3F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12"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13" borderId="5" applyNumberFormat="0" applyAlignment="0" applyProtection="0">
      <alignment vertical="center"/>
    </xf>
    <xf numFmtId="0" fontId="21" fillId="14" borderId="6" applyNumberFormat="0" applyAlignment="0" applyProtection="0">
      <alignment vertical="center"/>
    </xf>
    <xf numFmtId="0" fontId="22" fillId="14" borderId="5" applyNumberFormat="0" applyAlignment="0" applyProtection="0">
      <alignment vertical="center"/>
    </xf>
    <xf numFmtId="0" fontId="23" fillId="15"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30" fillId="39" borderId="0" applyNumberFormat="0" applyBorder="0" applyAlignment="0" applyProtection="0">
      <alignment vertical="center"/>
    </xf>
    <xf numFmtId="0" fontId="30" fillId="40" borderId="0" applyNumberFormat="0" applyBorder="0" applyAlignment="0" applyProtection="0">
      <alignment vertical="center"/>
    </xf>
    <xf numFmtId="0" fontId="29" fillId="41" borderId="0" applyNumberFormat="0" applyBorder="0" applyAlignment="0" applyProtection="0">
      <alignment vertical="center"/>
    </xf>
  </cellStyleXfs>
  <cellXfs count="60">
    <xf numFmtId="0" fontId="0" fillId="0" borderId="0" xfId="0">
      <alignment vertical="center"/>
    </xf>
    <xf numFmtId="0" fontId="1" fillId="0" borderId="0" xfId="0" applyFont="1" applyFill="1" applyAlignment="1"/>
    <xf numFmtId="0" fontId="1" fillId="0" borderId="0" xfId="0" applyFont="1" applyFill="1" applyAlignment="1">
      <alignment wrapText="1"/>
    </xf>
    <xf numFmtId="0" fontId="2" fillId="0"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0" xfId="0" applyFont="1" applyFill="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1" fillId="3" borderId="0" xfId="0" applyFont="1" applyFill="1" applyAlignment="1">
      <alignment wrapText="1"/>
    </xf>
    <xf numFmtId="0" fontId="1" fillId="4" borderId="0" xfId="0" applyFont="1" applyFill="1" applyAlignment="1">
      <alignment wrapText="1"/>
    </xf>
    <xf numFmtId="0" fontId="2" fillId="2" borderId="0" xfId="0" applyFont="1" applyFill="1" applyAlignment="1">
      <alignment horizontal="left" vertical="top" wrapText="1"/>
    </xf>
    <xf numFmtId="0" fontId="1" fillId="2" borderId="0" xfId="0" applyFont="1" applyFill="1" applyAlignment="1">
      <alignment wrapText="1"/>
    </xf>
    <xf numFmtId="0" fontId="3" fillId="0" borderId="0" xfId="0" applyFont="1" applyFill="1" applyAlignment="1"/>
    <xf numFmtId="0" fontId="2" fillId="0" borderId="0" xfId="0" applyFont="1" applyFill="1" applyAlignment="1">
      <alignment horizontal="left" vertical="top" wrapText="1"/>
    </xf>
    <xf numFmtId="0" fontId="4" fillId="5"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0" fillId="6" borderId="0" xfId="0" applyFill="1">
      <alignment vertical="center"/>
    </xf>
    <xf numFmtId="0" fontId="1" fillId="7" borderId="0" xfId="0" applyFont="1" applyFill="1" applyAlignment="1">
      <alignment wrapText="1"/>
    </xf>
    <xf numFmtId="0" fontId="4" fillId="5" borderId="0" xfId="0" applyFont="1" applyFill="1" applyAlignment="1">
      <alignment horizontal="left" vertical="top" wrapText="1"/>
    </xf>
    <xf numFmtId="0" fontId="4" fillId="8"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1" fillId="0" borderId="0" xfId="0" applyFont="1" applyFill="1" applyAlignment="1">
      <alignment wrapText="1"/>
    </xf>
    <xf numFmtId="0" fontId="5" fillId="0" borderId="1" xfId="0" applyFont="1" applyBorder="1" applyAlignment="1">
      <alignment horizontal="left" vertical="top" wrapText="1"/>
    </xf>
    <xf numFmtId="0" fontId="1" fillId="6" borderId="0" xfId="0" applyFont="1" applyFill="1" applyAlignment="1">
      <alignment wrapText="1"/>
    </xf>
    <xf numFmtId="0" fontId="4" fillId="0" borderId="1" xfId="0" applyFont="1" applyFill="1" applyBorder="1" applyAlignment="1">
      <alignment vertical="top" wrapText="1"/>
    </xf>
    <xf numFmtId="0" fontId="6" fillId="0" borderId="0" xfId="0" applyFont="1" applyFill="1" applyAlignment="1">
      <alignment wrapText="1"/>
    </xf>
    <xf numFmtId="0" fontId="5" fillId="6" borderId="1" xfId="0" applyFont="1" applyFill="1" applyBorder="1" applyAlignment="1">
      <alignment horizontal="left" vertical="top" wrapText="1"/>
    </xf>
    <xf numFmtId="0" fontId="6" fillId="7" borderId="0" xfId="0" applyFont="1" applyFill="1" applyAlignment="1">
      <alignment wrapText="1"/>
    </xf>
    <xf numFmtId="0" fontId="1" fillId="0" borderId="0" xfId="0" applyFont="1" applyFill="1" applyAlignment="1"/>
    <xf numFmtId="0" fontId="5" fillId="6" borderId="0" xfId="0" applyFont="1" applyFill="1" applyAlignment="1">
      <alignment horizontal="left" vertical="top" wrapText="1"/>
    </xf>
    <xf numFmtId="0" fontId="5" fillId="0" borderId="0" xfId="0" applyFont="1" applyAlignment="1">
      <alignment horizontal="left" vertical="top" wrapText="1"/>
    </xf>
    <xf numFmtId="0" fontId="5" fillId="0"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7" fillId="9" borderId="1" xfId="0" applyFont="1" applyFill="1" applyBorder="1" applyAlignment="1">
      <alignment horizontal="left" vertical="top" wrapText="1"/>
    </xf>
    <xf numFmtId="0" fontId="7" fillId="2" borderId="0" xfId="0" applyFont="1" applyFill="1" applyAlignment="1">
      <alignment horizontal="left" vertical="top" wrapText="1"/>
    </xf>
    <xf numFmtId="0" fontId="7"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1" fillId="0" borderId="0" xfId="0" applyFont="1" applyFill="1" applyAlignment="1"/>
    <xf numFmtId="0" fontId="5" fillId="2"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1" fillId="2" borderId="0" xfId="0" applyFont="1" applyFill="1" applyAlignment="1"/>
    <xf numFmtId="0" fontId="0" fillId="2" borderId="0" xfId="0" applyFill="1">
      <alignment vertical="center"/>
    </xf>
    <xf numFmtId="0" fontId="0" fillId="9" borderId="0" xfId="0" applyFill="1">
      <alignment vertical="center"/>
    </xf>
    <xf numFmtId="0" fontId="1" fillId="10" borderId="0" xfId="0" applyFont="1" applyFill="1" applyAlignment="1"/>
    <xf numFmtId="0" fontId="4" fillId="0"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0" fillId="8" borderId="0" xfId="0" applyFill="1">
      <alignment vertical="center"/>
    </xf>
    <xf numFmtId="0" fontId="8" fillId="0" borderId="1" xfId="0" applyFont="1" applyFill="1" applyBorder="1" applyAlignment="1">
      <alignment horizontal="left" vertical="top" wrapText="1"/>
    </xf>
    <xf numFmtId="49" fontId="0" fillId="8" borderId="0" xfId="0" applyNumberFormat="1" applyFill="1">
      <alignment vertical="center"/>
    </xf>
    <xf numFmtId="0" fontId="4" fillId="2" borderId="1" xfId="0" applyFont="1" applyFill="1" applyBorder="1" applyAlignment="1">
      <alignment horizontal="left" vertical="top" wrapText="1"/>
    </xf>
    <xf numFmtId="0" fontId="9" fillId="2" borderId="0" xfId="0" applyFont="1" applyFill="1" applyAlignment="1"/>
    <xf numFmtId="0" fontId="10" fillId="0" borderId="0" xfId="0" applyFont="1" applyFill="1" applyAlignment="1"/>
    <xf numFmtId="0" fontId="11" fillId="0" borderId="0" xfId="0" applyFont="1" applyFill="1" applyAlignment="1"/>
    <xf numFmtId="0" fontId="1" fillId="7" borderId="0" xfId="0" applyFont="1" applyFill="1" applyAlignment="1">
      <alignment wrapText="1"/>
    </xf>
    <xf numFmtId="0" fontId="1" fillId="0" borderId="0" xfId="0" applyFont="1" applyFill="1" applyAlignment="1">
      <alignment wrapText="1"/>
    </xf>
    <xf numFmtId="0" fontId="4" fillId="11" borderId="1"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82"/>
  <sheetViews>
    <sheetView tabSelected="1" zoomScale="67" zoomScaleNormal="67" topLeftCell="D31" workbookViewId="0">
      <selection activeCell="E61" sqref="E61"/>
    </sheetView>
  </sheetViews>
  <sheetFormatPr defaultColWidth="9.02654867256637" defaultRowHeight="13.5"/>
  <cols>
    <col min="1" max="1" width="18.9115044247788" customWidth="1"/>
    <col min="2" max="2" width="32.0884955752212" customWidth="1"/>
    <col min="3" max="3" width="9.7787610619469" customWidth="1"/>
    <col min="4" max="4" width="25.3628318584071" customWidth="1"/>
    <col min="5" max="6" width="19.8053097345133" customWidth="1"/>
    <col min="7" max="7" width="23.1769911504425" customWidth="1"/>
    <col min="8" max="8" width="23.4601769911504" customWidth="1"/>
    <col min="9" max="9" width="8.08849557522124" customWidth="1"/>
    <col min="10" max="10" width="18.6725663716814" customWidth="1"/>
    <col min="11" max="11" width="6.50442477876106" customWidth="1"/>
    <col min="12" max="12" width="9.95575221238938" customWidth="1"/>
    <col min="13" max="13" width="20.0884955752212" customWidth="1"/>
    <col min="14" max="14" width="8.92035398230088" customWidth="1"/>
    <col min="15" max="15" width="6.15929203539823" customWidth="1"/>
    <col min="16" max="16" width="18.716814159292" customWidth="1"/>
    <col min="17" max="17" width="14.7699115044248" customWidth="1"/>
    <col min="18" max="18" width="11.8849557522124"/>
    <col min="19" max="19" width="22.1327433628319" customWidth="1"/>
    <col min="20" max="21" width="11.8849557522124"/>
    <col min="23" max="23" width="31.2035398230088" customWidth="1"/>
    <col min="24" max="24" width="9.19469026548673" customWidth="1"/>
    <col min="25" max="25" width="14.8672566371681" customWidth="1"/>
    <col min="26" max="26" width="13.5575221238938" customWidth="1"/>
    <col min="27" max="27" width="10.8230088495575"/>
    <col min="29" max="30" width="11.8849557522124"/>
    <col min="31" max="31" width="12.1061946902655" customWidth="1"/>
    <col min="32" max="33" width="11.8849557522124"/>
    <col min="34" max="34" width="16.2477876106195" customWidth="1"/>
    <col min="35" max="36" width="11.8849557522124"/>
    <col min="37" max="37" width="17.6991150442478" customWidth="1"/>
    <col min="38" max="39" width="11.8849557522124"/>
    <col min="41" max="41" width="11.8849557522124"/>
    <col min="43" max="43" width="14.7345132743363" customWidth="1"/>
    <col min="44" max="44" width="11.8849557522124"/>
    <col min="45" max="45" width="10.8230088495575"/>
  </cols>
  <sheetData>
    <row r="1" ht="39" spans="1:68">
      <c r="A1" t="s">
        <v>0</v>
      </c>
      <c r="B1" s="18" t="s">
        <v>1</v>
      </c>
      <c r="C1" s="19" t="s">
        <v>2</v>
      </c>
      <c r="D1" s="20" t="s">
        <v>3</v>
      </c>
      <c r="E1" s="21">
        <v>0.6</v>
      </c>
      <c r="F1" s="21"/>
      <c r="G1" s="20" t="s">
        <v>4</v>
      </c>
      <c r="H1" s="20">
        <v>0.6</v>
      </c>
      <c r="I1" s="20"/>
      <c r="J1" s="20" t="s">
        <v>5</v>
      </c>
      <c r="K1" s="20">
        <v>0.6</v>
      </c>
      <c r="L1" s="20"/>
      <c r="M1" s="20" t="s">
        <v>6</v>
      </c>
      <c r="N1">
        <v>0.6</v>
      </c>
      <c r="P1" s="22" t="s">
        <v>7</v>
      </c>
      <c r="Q1" s="22">
        <v>0.6</v>
      </c>
      <c r="R1" s="22"/>
      <c r="S1" s="22" t="s">
        <v>8</v>
      </c>
      <c r="T1" s="22">
        <v>0.6</v>
      </c>
      <c r="U1" s="22"/>
      <c r="V1" s="22" t="s">
        <v>9</v>
      </c>
      <c r="W1" s="22">
        <v>0.6</v>
      </c>
      <c r="X1" s="22"/>
      <c r="Y1" s="22" t="s">
        <v>10</v>
      </c>
      <c r="Z1" s="22">
        <v>0.6</v>
      </c>
      <c r="AA1" s="22"/>
    </row>
    <row r="2" ht="14.6" spans="1:68">
      <c r="B2" s="23"/>
      <c r="C2" s="19" t="s">
        <v>11</v>
      </c>
      <c r="D2" s="20" t="s">
        <v>12</v>
      </c>
      <c r="E2" s="21" t="str">
        <f>LEFT(D2,4)</f>
        <v>5.71</v>
      </c>
      <c r="F2" s="21" t="str">
        <f>RIGHT(D2,4)</f>
        <v>1.12</v>
      </c>
      <c r="G2" s="20" t="s">
        <v>13</v>
      </c>
      <c r="H2" s="21" t="str">
        <f>LEFT(G2,4)</f>
        <v>5.82</v>
      </c>
      <c r="I2" s="21" t="str">
        <f>RIGHT(G2,4)</f>
        <v>1.02</v>
      </c>
      <c r="J2" s="20" t="s">
        <v>14</v>
      </c>
      <c r="K2" s="21" t="str">
        <f>LEFT(J2,5)</f>
        <v>21.35</v>
      </c>
      <c r="L2" s="21" t="str">
        <f>RIGHT(J2,4)</f>
        <v>4.36</v>
      </c>
      <c r="M2" s="20" t="s">
        <v>15</v>
      </c>
      <c r="N2" s="21" t="str">
        <f>LEFT(M2,5)</f>
        <v>21.07</v>
      </c>
      <c r="O2" s="21" t="str">
        <f>RIGHT(M2,4)</f>
        <v>4.21</v>
      </c>
      <c r="P2" s="22" t="s">
        <v>16</v>
      </c>
      <c r="Q2" s="21" t="str">
        <f>LEFT(P2,4)</f>
        <v>0.69</v>
      </c>
      <c r="R2" s="21" t="str">
        <f>RIGHT(P2,4)</f>
        <v>0.08</v>
      </c>
      <c r="S2" s="22" t="s">
        <v>17</v>
      </c>
      <c r="T2" s="21" t="str">
        <f>LEFT(S2,4)</f>
        <v>0.66</v>
      </c>
      <c r="U2" s="21" t="str">
        <f>RIGHT(S2,4)</f>
        <v>0.12</v>
      </c>
      <c r="V2" s="22" t="s">
        <v>18</v>
      </c>
      <c r="W2" s="21" t="str">
        <f>LEFT(V2,4)</f>
        <v>4.98</v>
      </c>
      <c r="X2" s="21" t="str">
        <f>RIGHT(V2,4)</f>
        <v>1.19</v>
      </c>
      <c r="Y2" s="22" t="s">
        <v>19</v>
      </c>
      <c r="Z2" s="21" t="str">
        <f>LEFT(Y2,4)</f>
        <v>4.59</v>
      </c>
      <c r="AA2" s="21" t="str">
        <f>RIGHT(Y2,4)</f>
        <v>1.02</v>
      </c>
    </row>
    <row r="3" ht="13.85" spans="1:68">
      <c r="B3" s="23"/>
      <c r="C3" s="19" t="s">
        <v>20</v>
      </c>
      <c r="D3" s="20" t="s">
        <v>21</v>
      </c>
      <c r="E3" s="21" t="str">
        <f>LEFT(D3,4)</f>
        <v>8.23</v>
      </c>
      <c r="F3" s="21" t="str">
        <f>RIGHT(D3,4)</f>
        <v>0.48</v>
      </c>
      <c r="G3" s="20" t="s">
        <v>22</v>
      </c>
      <c r="H3" s="21" t="str">
        <f>LEFT(G3,4)</f>
        <v>7.89</v>
      </c>
      <c r="I3" s="21" t="str">
        <f>RIGHT(G3,4)</f>
        <v>0.63</v>
      </c>
      <c r="J3" s="20" t="s">
        <v>23</v>
      </c>
      <c r="K3" s="21" t="str">
        <f>LEFT(J3,5)</f>
        <v>27.12</v>
      </c>
      <c r="L3" s="21" t="str">
        <f>RIGHT(J3,4)</f>
        <v>0.64</v>
      </c>
      <c r="M3" s="20" t="s">
        <v>24</v>
      </c>
      <c r="N3" s="21" t="str">
        <f>LEFT(M3,5)</f>
        <v>26.42</v>
      </c>
      <c r="O3" s="21" t="str">
        <f>RIGHT(M3,4)</f>
        <v>0.24</v>
      </c>
      <c r="P3" s="22" t="s">
        <v>25</v>
      </c>
      <c r="Q3" s="21" t="str">
        <f>LEFT(P3,4)</f>
        <v>0.89</v>
      </c>
      <c r="R3" s="21" t="str">
        <f>RIGHT(P3,4)</f>
        <v>0.06</v>
      </c>
      <c r="S3" s="22" t="s">
        <v>26</v>
      </c>
      <c r="T3" s="21" t="str">
        <f>LEFT(S3,4)</f>
        <v>0.86</v>
      </c>
      <c r="U3" s="21" t="str">
        <f>RIGHT(S3,4)</f>
        <v>0.05</v>
      </c>
      <c r="V3" s="22" t="s">
        <v>27</v>
      </c>
      <c r="W3" s="21" t="str">
        <f>LEFT(V3,4)</f>
        <v>3.12</v>
      </c>
      <c r="X3" s="21" t="str">
        <f>RIGHT(V3,4)</f>
        <v>2.21</v>
      </c>
      <c r="Y3" s="22" t="s">
        <v>28</v>
      </c>
      <c r="Z3" s="21" t="str">
        <f>LEFT(Y3,4)</f>
        <v>4.05</v>
      </c>
      <c r="AA3" s="21" t="str">
        <f>RIGHT(Y3,4)</f>
        <v>1.01</v>
      </c>
    </row>
    <row r="4" ht="14.6" spans="1:68">
      <c r="B4" s="23"/>
      <c r="C4" s="19"/>
      <c r="D4" s="20" t="s">
        <v>29</v>
      </c>
      <c r="E4" s="21">
        <f>E3-E2</f>
        <v>2.52</v>
      </c>
      <c r="F4" s="21">
        <f>SQRT(F2^2+F3^2-2*E1*F2*F3)</f>
        <v>0.916340548049687</v>
      </c>
      <c r="G4" s="20" t="s">
        <v>29</v>
      </c>
      <c r="H4" s="21">
        <f>H3-H2</f>
        <v>2.07</v>
      </c>
      <c r="I4" s="21">
        <f>SQRT(I2^2+I3^2-2*H1*I2*I3)</f>
        <v>0.816198505266948</v>
      </c>
      <c r="J4" s="20" t="s">
        <v>29</v>
      </c>
      <c r="K4" s="21">
        <f>K3-K2</f>
        <v>5.77</v>
      </c>
      <c r="L4" s="21">
        <f>SQRT(L2^2+L3^2-2*K1*L2*L3)</f>
        <v>4.00883025332827</v>
      </c>
      <c r="M4" s="20" t="s">
        <v>29</v>
      </c>
      <c r="N4" s="21">
        <f>N3-N2</f>
        <v>5.35</v>
      </c>
      <c r="O4" s="21">
        <f>SQRT(O2^2+O3^2-2*N1*O2*O3)</f>
        <v>4.07053067793378</v>
      </c>
      <c r="Q4" s="21">
        <f>Q3-Q2</f>
        <v>0.2</v>
      </c>
      <c r="R4" s="21">
        <f>SQRT(R2^2+R3^2-2*Q1*R2*R3)</f>
        <v>0.0651152823843988</v>
      </c>
      <c r="T4" s="21">
        <f>T3-T2</f>
        <v>0.2</v>
      </c>
      <c r="U4" s="21">
        <f>SQRT(U2^2+U3^2-2*T1*U2*U3)</f>
        <v>0.098488578017961</v>
      </c>
      <c r="W4" s="21">
        <f>W3-W2</f>
        <v>-1.86</v>
      </c>
      <c r="X4" s="21">
        <f>SQRT(X2^2+X3^2-2*W1*X2*X3)</f>
        <v>1.77322305421512</v>
      </c>
      <c r="Z4" s="21">
        <f>Z3-Z2</f>
        <v>-0.54</v>
      </c>
      <c r="AA4" s="21">
        <f>SQRT(AA2^2+AA3^2-2*Z1*AA2*AA3)</f>
        <v>0.90788765824853</v>
      </c>
    </row>
    <row r="5" ht="26.25" spans="1:68">
      <c r="B5" s="18" t="s">
        <v>30</v>
      </c>
      <c r="C5" s="19" t="s">
        <v>2</v>
      </c>
      <c r="D5" s="20" t="s">
        <v>31</v>
      </c>
      <c r="E5" s="21" t="str">
        <f>LEFT(D5,4)</f>
        <v>肌肉质量</v>
      </c>
      <c r="F5" s="21" t="str">
        <f>RIGHT(D5,4)</f>
        <v>组ASM</v>
      </c>
      <c r="G5" s="20" t="s">
        <v>4</v>
      </c>
      <c r="H5" s="21" t="str">
        <f>LEFT(G5,4)</f>
        <v>肌肉质量</v>
      </c>
      <c r="I5" s="21" t="str">
        <f>RIGHT(G5,4)</f>
        <v>-对照组</v>
      </c>
      <c r="J5" s="20" t="s">
        <v>32</v>
      </c>
      <c r="K5" s="21" t="str">
        <f>LEFT(J5,5)</f>
        <v>肌肉力量(</v>
      </c>
      <c r="L5" s="21" t="str">
        <f>RIGHT(J5,4)</f>
        <v>-观察组</v>
      </c>
      <c r="M5" s="20" t="s">
        <v>6</v>
      </c>
      <c r="N5" s="21" t="str">
        <f>LEFT(M5,5)</f>
        <v>肌肉力量(</v>
      </c>
      <c r="O5" s="21" t="str">
        <f>RIGHT(M5,4)</f>
        <v>-对照组</v>
      </c>
    </row>
    <row r="6" spans="1:68">
      <c r="C6" s="19" t="s">
        <v>11</v>
      </c>
      <c r="D6" s="20" t="s">
        <v>33</v>
      </c>
      <c r="E6" s="21" t="str">
        <f t="shared" ref="E6:E12" si="0">LEFT(D6,4)</f>
        <v>5.21</v>
      </c>
      <c r="F6" s="21" t="str">
        <f t="shared" ref="F6:F12" si="1">RIGHT(D6,4)</f>
        <v>0.70</v>
      </c>
      <c r="G6" s="20" t="s">
        <v>34</v>
      </c>
      <c r="H6" s="21" t="str">
        <f t="shared" ref="H6:H12" si="2">LEFT(G6,4)</f>
        <v>5.22</v>
      </c>
      <c r="I6" s="21" t="str">
        <f t="shared" ref="I6:I12" si="3">RIGHT(G6,4)</f>
        <v>0.73</v>
      </c>
      <c r="J6" s="20" t="s">
        <v>35</v>
      </c>
      <c r="K6" s="21" t="str">
        <f>LEFT(J6,5)</f>
        <v>21.15</v>
      </c>
      <c r="L6" s="21" t="str">
        <f t="shared" ref="L6:L12" si="4">RIGHT(J6,4)</f>
        <v>7.32</v>
      </c>
      <c r="M6" s="20" t="s">
        <v>36</v>
      </c>
      <c r="N6" s="21" t="str">
        <f>LEFT(M6,5)</f>
        <v>21.21</v>
      </c>
      <c r="O6" s="21" t="str">
        <f t="shared" ref="O6:O12" si="5">RIGHT(M6,4)</f>
        <v>7.36</v>
      </c>
    </row>
    <row r="7" spans="1:68">
      <c r="C7" s="19" t="s">
        <v>20</v>
      </c>
      <c r="D7" s="20" t="s">
        <v>37</v>
      </c>
      <c r="E7" s="21" t="str">
        <f t="shared" si="0"/>
        <v>7.92</v>
      </c>
      <c r="F7" s="21" t="str">
        <f t="shared" si="1"/>
        <v>0.77</v>
      </c>
      <c r="G7" s="20" t="s">
        <v>38</v>
      </c>
      <c r="H7" s="21" t="str">
        <f t="shared" si="2"/>
        <v>6.75</v>
      </c>
      <c r="I7" s="21" t="str">
        <f t="shared" si="3"/>
        <v>0.74</v>
      </c>
      <c r="J7" s="20" t="s">
        <v>39</v>
      </c>
      <c r="K7" s="21" t="str">
        <f>LEFT(J7,5)</f>
        <v>27.96</v>
      </c>
      <c r="L7" s="21" t="str">
        <f t="shared" si="4"/>
        <v>7.38</v>
      </c>
      <c r="M7" s="20" t="s">
        <v>40</v>
      </c>
      <c r="N7" s="21" t="str">
        <f>LEFT(M7,5)</f>
        <v>24.77</v>
      </c>
      <c r="O7" s="21" t="str">
        <f t="shared" si="5"/>
        <v>7.29</v>
      </c>
    </row>
    <row r="8" ht="14.25" spans="1:68">
      <c r="B8" s="24"/>
      <c r="C8" s="24"/>
      <c r="D8" s="20" t="s">
        <v>29</v>
      </c>
      <c r="E8" s="21">
        <f>E7-E6</f>
        <v>2.71</v>
      </c>
      <c r="F8" s="21">
        <f>SQRT(F7^2+F6^2-2*E1*F6*F7)</f>
        <v>0.660378679243962</v>
      </c>
      <c r="G8" s="20" t="s">
        <v>29</v>
      </c>
      <c r="H8" s="21">
        <f>H7-H6</f>
        <v>1.53</v>
      </c>
      <c r="I8" s="21">
        <f>SQRT(I6^2+I7^2-2*H1*I6*I7)</f>
        <v>0.657464827956599</v>
      </c>
      <c r="J8" s="20" t="s">
        <v>29</v>
      </c>
      <c r="K8" s="21">
        <f>K7-K6</f>
        <v>6.81</v>
      </c>
      <c r="L8" s="21">
        <f>SQRT(L6^2+L7^2-2*K1*L6*L7)</f>
        <v>6.57425889359401</v>
      </c>
      <c r="M8" s="20" t="s">
        <v>29</v>
      </c>
      <c r="N8" s="21">
        <f>N7-N6</f>
        <v>3.56</v>
      </c>
      <c r="O8" s="21">
        <f>SQRT(O6^2+O7^2-2*N1*O6*O7)</f>
        <v>6.55197832719248</v>
      </c>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row>
    <row r="9" s="17" customFormat="1" ht="26.25" spans="1:68">
      <c r="B9" s="25"/>
      <c r="C9" s="16" t="s">
        <v>41</v>
      </c>
      <c r="D9" s="16" t="s">
        <v>42</v>
      </c>
      <c r="E9" s="16"/>
      <c r="F9" s="16"/>
      <c r="G9" s="16"/>
      <c r="H9" s="16"/>
      <c r="I9" s="26"/>
      <c r="J9" s="26"/>
      <c r="K9" s="16" t="s">
        <v>43</v>
      </c>
      <c r="L9" s="16" t="s">
        <v>44</v>
      </c>
      <c r="M9" s="27"/>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row>
    <row r="10" s="17" customFormat="1" ht="26.25" spans="1:68">
      <c r="B10" s="29" t="s">
        <v>45</v>
      </c>
      <c r="C10" s="16" t="s">
        <v>46</v>
      </c>
      <c r="D10" s="16" t="s">
        <v>47</v>
      </c>
      <c r="E10" s="16">
        <v>0.6</v>
      </c>
      <c r="F10" s="16"/>
      <c r="G10" s="16" t="s">
        <v>48</v>
      </c>
      <c r="H10" s="16">
        <v>0.6</v>
      </c>
      <c r="I10" s="16"/>
      <c r="J10" s="16" t="s">
        <v>49</v>
      </c>
      <c r="K10" s="16">
        <v>0.76</v>
      </c>
      <c r="L10" s="16"/>
      <c r="M10" s="16"/>
      <c r="N10" s="16">
        <v>0.6</v>
      </c>
      <c r="O10" s="16"/>
      <c r="P10" s="16" t="s">
        <v>50</v>
      </c>
      <c r="Q10" s="22">
        <v>0.6</v>
      </c>
      <c r="R10" s="22"/>
      <c r="S10" s="30"/>
      <c r="T10" s="22">
        <v>0.6</v>
      </c>
      <c r="U10" s="22"/>
      <c r="V10" s="16" t="s">
        <v>51</v>
      </c>
      <c r="W10" s="22">
        <v>0.6</v>
      </c>
      <c r="X10" s="22"/>
      <c r="Y10" s="30"/>
      <c r="Z10" s="22">
        <v>0.6</v>
      </c>
      <c r="AA10" s="22"/>
      <c r="AC10" s="30"/>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row>
    <row r="11" s="17" customFormat="1" ht="26.25" spans="1:68">
      <c r="B11" s="25" t="s">
        <v>52</v>
      </c>
      <c r="C11" s="16" t="s">
        <v>53</v>
      </c>
      <c r="D11" s="16" t="s">
        <v>54</v>
      </c>
      <c r="E11" s="21" t="str">
        <f t="shared" si="0"/>
        <v>5.22</v>
      </c>
      <c r="F11" s="21" t="str">
        <f t="shared" si="1"/>
        <v>0.71</v>
      </c>
      <c r="G11" s="16" t="s">
        <v>55</v>
      </c>
      <c r="H11" s="21" t="str">
        <f t="shared" si="2"/>
        <v>5.24</v>
      </c>
      <c r="I11" s="21" t="str">
        <f t="shared" si="3"/>
        <v>0.75</v>
      </c>
      <c r="J11" s="16" t="s">
        <v>56</v>
      </c>
      <c r="K11" s="21" t="str">
        <f>LEFT(J11,4)</f>
        <v>21.2</v>
      </c>
      <c r="L11" s="21" t="str">
        <f t="shared" si="4"/>
        <v>7.03</v>
      </c>
      <c r="M11" s="16" t="s">
        <v>57</v>
      </c>
      <c r="N11" s="21" t="str">
        <f>LEFT(M11,4)</f>
        <v>21.2</v>
      </c>
      <c r="O11" s="21" t="str">
        <f t="shared" si="5"/>
        <v>7.08</v>
      </c>
      <c r="P11" s="16" t="s">
        <v>58</v>
      </c>
      <c r="Q11" s="21" t="str">
        <f>LEFT(P11,4)</f>
        <v>0.68</v>
      </c>
      <c r="R11" s="21" t="str">
        <f>RIGHT(P11,4)</f>
        <v>0.10</v>
      </c>
      <c r="S11" s="16" t="s">
        <v>59</v>
      </c>
      <c r="T11" s="21" t="str">
        <f>LEFT(S11,4)</f>
        <v>0.69</v>
      </c>
      <c r="U11" s="21" t="str">
        <f>RIGHT(S11,4)</f>
        <v>0.11</v>
      </c>
      <c r="V11" s="16" t="s">
        <v>60</v>
      </c>
      <c r="W11" s="21" t="str">
        <f>LEFT(V11,4)</f>
        <v>4.67</v>
      </c>
      <c r="X11" s="21" t="str">
        <f>RIGHT(V11,4)</f>
        <v>1.09</v>
      </c>
      <c r="Y11" s="16" t="s">
        <v>61</v>
      </c>
      <c r="Z11" s="21" t="str">
        <f>LEFT(Y11,4)</f>
        <v>4.75</v>
      </c>
      <c r="AA11" s="21" t="str">
        <f>RIGHT(Y11,4)</f>
        <v>1.11</v>
      </c>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row>
    <row r="12" s="17" customFormat="1" ht="26.25" spans="1:68">
      <c r="B12" s="25"/>
      <c r="C12" s="16" t="s">
        <v>62</v>
      </c>
      <c r="D12" s="16" t="s">
        <v>63</v>
      </c>
      <c r="E12" s="21" t="str">
        <f t="shared" si="0"/>
        <v>7.95</v>
      </c>
      <c r="F12" s="21" t="str">
        <f t="shared" si="1"/>
        <v>0.75</v>
      </c>
      <c r="G12" s="16" t="s">
        <v>64</v>
      </c>
      <c r="H12" s="21" t="str">
        <f t="shared" si="2"/>
        <v>6.71</v>
      </c>
      <c r="I12" s="21" t="str">
        <f t="shared" si="3"/>
        <v>0.71</v>
      </c>
      <c r="J12" s="16" t="s">
        <v>65</v>
      </c>
      <c r="K12" s="21" t="str">
        <f>LEFT(J12,4)</f>
        <v>28.0</v>
      </c>
      <c r="L12" s="21" t="str">
        <f t="shared" si="4"/>
        <v>7.35</v>
      </c>
      <c r="M12" s="16" t="s">
        <v>66</v>
      </c>
      <c r="N12" s="21" t="str">
        <f>LEFT(M12,4)</f>
        <v>24.6</v>
      </c>
      <c r="O12" s="21" t="str">
        <f t="shared" si="5"/>
        <v>7.23</v>
      </c>
      <c r="P12" s="16" t="s">
        <v>67</v>
      </c>
      <c r="Q12" s="21" t="str">
        <f>LEFT(P12,4)</f>
        <v>0.89</v>
      </c>
      <c r="R12" s="21" t="str">
        <f>RIGHT(P12,4)</f>
        <v>0.05</v>
      </c>
      <c r="S12" s="16" t="s">
        <v>68</v>
      </c>
      <c r="T12" s="21" t="str">
        <f>LEFT(S12,4)</f>
        <v>0.72</v>
      </c>
      <c r="U12" s="21" t="str">
        <f>RIGHT(S12,4)</f>
        <v>0.01</v>
      </c>
      <c r="V12" s="16" t="s">
        <v>69</v>
      </c>
      <c r="W12" s="21" t="str">
        <f>LEFT(V12,4)</f>
        <v>3.15</v>
      </c>
      <c r="X12" s="21" t="str">
        <f>RIGHT(V12,4)</f>
        <v>1.06</v>
      </c>
      <c r="Y12" s="16" t="s">
        <v>70</v>
      </c>
      <c r="Z12" s="21" t="str">
        <f>LEFT(Y12,4)</f>
        <v>4.13</v>
      </c>
      <c r="AA12" s="21" t="str">
        <f>RIGHT(Y12,4)</f>
        <v>1.08</v>
      </c>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row>
    <row r="13" s="17" customFormat="1" ht="14.6" spans="1:68">
      <c r="B13" s="25"/>
      <c r="C13" s="31"/>
      <c r="D13" s="28"/>
      <c r="E13" s="21">
        <f>E12-E11</f>
        <v>2.73</v>
      </c>
      <c r="F13" s="21">
        <f>SQRT(F11^2+F12^2-2*E10*F11*F12)</f>
        <v>0.653911308970873</v>
      </c>
      <c r="G13" s="28"/>
      <c r="H13" s="21">
        <f>H12-H11</f>
        <v>1.47</v>
      </c>
      <c r="I13" s="21">
        <f>SQRT(I11^2+I12^2-2*H10*I11*I12)</f>
        <v>0.653911308970873</v>
      </c>
      <c r="J13" s="28"/>
      <c r="K13" s="21">
        <f>K12-K11</f>
        <v>6.8</v>
      </c>
      <c r="L13" s="21">
        <f>SQRT(L11^2+L12^2-2*K10*L11*L12)</f>
        <v>4.9904148124179</v>
      </c>
      <c r="M13" s="28"/>
      <c r="N13" s="21">
        <f>N12-N11</f>
        <v>3.4</v>
      </c>
      <c r="O13" s="21">
        <f>SQRT(O11^2+O12^2-2*N10*O11*O12)</f>
        <v>6.40103272917738</v>
      </c>
      <c r="P13" s="28"/>
      <c r="Q13" s="21">
        <f>Q12-Q11</f>
        <v>0.21</v>
      </c>
      <c r="R13" s="21">
        <f>SQRT(R11^2+R12^2-2*Q10*R11*R12)</f>
        <v>0.0806225774829855</v>
      </c>
      <c r="S13" s="28"/>
      <c r="T13" s="21">
        <f>T12-T11</f>
        <v>0.03</v>
      </c>
      <c r="U13" s="21">
        <f>SQRT(U11^2+U12^2-2*T10*U11*U12)</f>
        <v>0.104307238483242</v>
      </c>
      <c r="V13" s="28"/>
      <c r="W13" s="21">
        <f>W12-W11</f>
        <v>-1.52</v>
      </c>
      <c r="X13" s="21">
        <f>SQRT(X11^2+X12^2-2*W10*X11*X12)</f>
        <v>0.961883568837726</v>
      </c>
      <c r="Y13" s="28"/>
      <c r="Z13" s="21">
        <f>Z12-Z11</f>
        <v>-0.62</v>
      </c>
      <c r="AA13" s="21">
        <f>SQRT(AA11^2+AA12^2-2*Z10*AA11*AA12)</f>
        <v>0.979765278013056</v>
      </c>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row>
    <row r="14" s="17" customFormat="1" ht="14.6" spans="1:68">
      <c r="B14" s="25"/>
      <c r="C14" s="31"/>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row>
    <row r="15" customFormat="1" ht="14.6" spans="1:68">
      <c r="B15" s="23"/>
      <c r="C15" s="32"/>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row>
    <row r="16" ht="26.25" spans="1:68">
      <c r="A16" t="s">
        <v>71</v>
      </c>
      <c r="B16" s="18" t="s">
        <v>72</v>
      </c>
      <c r="C16" s="33" t="s">
        <v>73</v>
      </c>
      <c r="D16" s="34" t="s">
        <v>74</v>
      </c>
      <c r="E16" s="34"/>
      <c r="F16" s="34"/>
      <c r="G16" s="35" t="s">
        <v>75</v>
      </c>
      <c r="H16" s="35"/>
      <c r="I16" s="35"/>
      <c r="J16" s="34" t="s">
        <v>76</v>
      </c>
      <c r="K16" s="36"/>
      <c r="L16" s="36"/>
      <c r="M16" s="37" t="s">
        <v>77</v>
      </c>
      <c r="N16" s="37"/>
      <c r="O16" s="37"/>
      <c r="P16" s="38" t="s">
        <v>78</v>
      </c>
      <c r="Q16" s="24"/>
      <c r="R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row>
    <row r="17" ht="14.6" spans="2:60">
      <c r="B17" s="39" t="s">
        <v>79</v>
      </c>
      <c r="C17" s="33" t="s">
        <v>80</v>
      </c>
      <c r="D17" s="40" t="s">
        <v>81</v>
      </c>
      <c r="E17" s="21" t="str">
        <f>LEFT(D17,4)</f>
        <v>4.32</v>
      </c>
      <c r="F17" s="21" t="str">
        <f>RIGHT(D17,4)</f>
        <v>0.47</v>
      </c>
      <c r="G17" s="41" t="s">
        <v>82</v>
      </c>
      <c r="H17" s="21" t="str">
        <f>LEFT(G17,5)</f>
        <v>430.8</v>
      </c>
      <c r="I17" s="21" t="str">
        <f>RIGHT(G17,5)</f>
        <v>28.72</v>
      </c>
      <c r="J17" s="33" t="s">
        <v>83</v>
      </c>
      <c r="K17" s="21" t="str">
        <f>LEFT(J17,4)</f>
        <v>1.41</v>
      </c>
      <c r="L17" s="21" t="str">
        <f>RIGHT(J17,4)</f>
        <v>0.05</v>
      </c>
      <c r="M17" s="33" t="s">
        <v>84</v>
      </c>
      <c r="N17" s="21" t="str">
        <f>LEFT(M17,7)</f>
        <v>1482.21</v>
      </c>
      <c r="O17" s="21" t="str">
        <f>RIGHT(M17,6)</f>
        <v>161.56</v>
      </c>
      <c r="P17" s="33" t="s">
        <v>85</v>
      </c>
      <c r="Q17" s="21" t="str">
        <f>LEFT(P17,4)</f>
        <v>1.00</v>
      </c>
      <c r="R17" s="21" t="str">
        <f>RIGHT(P17,4)</f>
        <v>0.01</v>
      </c>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row>
    <row r="18" ht="14.6" spans="2:60">
      <c r="B18" s="39"/>
      <c r="C18" s="33" t="s">
        <v>86</v>
      </c>
      <c r="D18" s="40" t="s">
        <v>87</v>
      </c>
      <c r="E18" s="21" t="str">
        <f t="shared" ref="E18:E25" si="6">LEFT(D18,4)</f>
        <v>2.38</v>
      </c>
      <c r="F18" s="21" t="str">
        <f t="shared" ref="F18:F25" si="7">RIGHT(D18,4)</f>
        <v>0.64</v>
      </c>
      <c r="G18" s="41" t="s">
        <v>88</v>
      </c>
      <c r="H18" s="21" t="str">
        <f>LEFT(G18,5)</f>
        <v>222.8</v>
      </c>
      <c r="I18" s="21" t="str">
        <f>RIGHT(G18,4)</f>
        <v>42.9</v>
      </c>
      <c r="J18" s="33" t="s">
        <v>89</v>
      </c>
      <c r="K18" s="21" t="str">
        <f t="shared" ref="K18:K25" si="8">LEFT(J18,4)</f>
        <v>1.00</v>
      </c>
      <c r="L18" s="21" t="str">
        <f t="shared" ref="L18:L25" si="9">RIGHT(J18,4)</f>
        <v>0.04</v>
      </c>
      <c r="M18" s="33" t="s">
        <v>90</v>
      </c>
      <c r="N18" s="21" t="str">
        <f>LEFT(M18,6)</f>
        <v>745.11</v>
      </c>
      <c r="O18" s="21" t="str">
        <f>RIGHT(M18,5)</f>
        <v>31.76</v>
      </c>
      <c r="P18" s="33" t="s">
        <v>91</v>
      </c>
      <c r="Q18" s="21" t="str">
        <f t="shared" ref="Q18:Q31" si="10">LEFT(P18,4)</f>
        <v>0.76</v>
      </c>
      <c r="R18" s="21" t="str">
        <f t="shared" ref="R18:R31" si="11">RIGHT(P18,4)</f>
        <v>0.07</v>
      </c>
      <c r="V18" s="24"/>
      <c r="W18" s="24"/>
      <c r="X18" s="24"/>
      <c r="Y18" s="24"/>
      <c r="Z18" s="24"/>
      <c r="AA18" s="24"/>
      <c r="AB18" s="24"/>
      <c r="AC18" s="24"/>
      <c r="AD18" s="24"/>
      <c r="AE18" s="24"/>
      <c r="AF18" s="24"/>
      <c r="AG18" s="24"/>
      <c r="AH18" s="24"/>
    </row>
    <row r="19" ht="14.6" spans="2:60">
      <c r="B19" s="39"/>
      <c r="C19" s="33" t="s">
        <v>92</v>
      </c>
      <c r="D19" s="40" t="s">
        <v>93</v>
      </c>
      <c r="E19" s="21" t="str">
        <f t="shared" si="6"/>
        <v>3.20</v>
      </c>
      <c r="F19" s="21" t="str">
        <f t="shared" si="7"/>
        <v>0.17</v>
      </c>
      <c r="G19" s="41" t="s">
        <v>94</v>
      </c>
      <c r="H19" s="21" t="str">
        <f t="shared" ref="H18:H31" si="12">LEFT(G19,5)</f>
        <v>246.8</v>
      </c>
      <c r="I19" s="21" t="str">
        <f t="shared" ref="I18:I31" si="13">RIGHT(G19,5)</f>
        <v>17.51</v>
      </c>
      <c r="J19" s="33" t="s">
        <v>95</v>
      </c>
      <c r="K19" s="21" t="str">
        <f t="shared" si="8"/>
        <v>1.06</v>
      </c>
      <c r="L19" s="21" t="str">
        <f t="shared" si="9"/>
        <v>0.04</v>
      </c>
      <c r="M19" s="33" t="s">
        <v>96</v>
      </c>
      <c r="N19" s="21" t="str">
        <f>LEFT(M19,6)</f>
        <v>976.76</v>
      </c>
      <c r="O19" s="21" t="str">
        <f>RIGHT(M19,5)</f>
        <v>80.58</v>
      </c>
      <c r="P19" s="33" t="s">
        <v>97</v>
      </c>
      <c r="Q19" s="21" t="str">
        <f t="shared" si="10"/>
        <v>1.17</v>
      </c>
      <c r="R19" s="21" t="str">
        <f t="shared" si="11"/>
        <v>0.03</v>
      </c>
      <c r="V19" s="24"/>
      <c r="W19" s="24"/>
      <c r="X19" s="24"/>
      <c r="Y19" s="24"/>
      <c r="Z19" s="24"/>
      <c r="AA19" s="24"/>
      <c r="AB19" s="24"/>
      <c r="AC19" s="24"/>
      <c r="AD19" s="24"/>
      <c r="AE19" s="24"/>
      <c r="AF19" s="24"/>
      <c r="AG19" s="24"/>
      <c r="AH19" s="24"/>
    </row>
    <row r="20" ht="14.6" spans="2:60">
      <c r="B20" s="23"/>
      <c r="C20" s="32"/>
      <c r="D20" s="40"/>
      <c r="E20" s="21" t="str">
        <f t="shared" si="6"/>
        <v/>
      </c>
      <c r="F20" s="21" t="str">
        <f t="shared" si="7"/>
        <v/>
      </c>
      <c r="G20" s="41"/>
      <c r="H20" s="21" t="str">
        <f t="shared" si="12"/>
        <v/>
      </c>
      <c r="I20" s="21" t="str">
        <f t="shared" si="13"/>
        <v/>
      </c>
      <c r="J20" s="24"/>
      <c r="K20" s="21" t="str">
        <f t="shared" si="8"/>
        <v/>
      </c>
      <c r="L20" s="21" t="str">
        <f t="shared" si="9"/>
        <v/>
      </c>
      <c r="M20" s="24"/>
      <c r="N20" s="21" t="str">
        <f t="shared" ref="N18:N31" si="14">LEFT(M20,4)</f>
        <v/>
      </c>
      <c r="O20" s="21" t="str">
        <f t="shared" ref="O18:O31" si="15">RIGHT(M20,4)</f>
        <v/>
      </c>
      <c r="P20" s="24"/>
      <c r="Q20" s="21" t="str">
        <f t="shared" si="10"/>
        <v/>
      </c>
      <c r="R20" s="21" t="str">
        <f t="shared" si="11"/>
        <v/>
      </c>
      <c r="S20" s="24"/>
      <c r="T20" s="24"/>
      <c r="U20" s="24"/>
      <c r="V20" s="24"/>
      <c r="W20" s="24"/>
      <c r="X20" s="24"/>
      <c r="Y20" s="24"/>
      <c r="Z20" s="24"/>
      <c r="AA20" s="24"/>
      <c r="AB20" s="24"/>
      <c r="AC20" s="24"/>
      <c r="AD20" s="24"/>
      <c r="AE20" s="24"/>
      <c r="AF20" s="24"/>
      <c r="AG20" s="24"/>
      <c r="AH20" s="24"/>
    </row>
    <row r="21" ht="26.25" spans="2:60">
      <c r="B21" s="18" t="s">
        <v>98</v>
      </c>
      <c r="C21" s="42" t="s">
        <v>99</v>
      </c>
      <c r="D21" s="43"/>
      <c r="E21" s="21" t="str">
        <f t="shared" si="6"/>
        <v/>
      </c>
      <c r="F21" s="21" t="str">
        <f t="shared" si="7"/>
        <v/>
      </c>
      <c r="G21" s="44"/>
      <c r="H21" s="21" t="str">
        <f t="shared" si="12"/>
        <v/>
      </c>
      <c r="I21" s="21" t="str">
        <f t="shared" si="13"/>
        <v/>
      </c>
      <c r="J21" s="42" t="s">
        <v>100</v>
      </c>
      <c r="K21" s="21" t="str">
        <f t="shared" si="8"/>
        <v>肌湿重/</v>
      </c>
      <c r="L21" s="21" t="str">
        <f t="shared" si="9"/>
        <v>重/体重</v>
      </c>
      <c r="N21" s="21" t="str">
        <f t="shared" si="14"/>
        <v/>
      </c>
      <c r="O21" s="21" t="str">
        <f t="shared" si="15"/>
        <v/>
      </c>
      <c r="P21" s="39"/>
      <c r="Q21" s="21" t="str">
        <f t="shared" si="10"/>
        <v/>
      </c>
      <c r="R21" s="21" t="str">
        <f t="shared" si="11"/>
        <v/>
      </c>
      <c r="S21" s="45" t="s">
        <v>101</v>
      </c>
      <c r="T21" s="45"/>
      <c r="U21" s="45"/>
      <c r="V21" s="24"/>
      <c r="W21" s="24"/>
      <c r="X21" s="24"/>
      <c r="Y21" s="24"/>
      <c r="Z21" s="24"/>
      <c r="AA21" s="24"/>
      <c r="AB21" s="24"/>
      <c r="AC21" s="24"/>
      <c r="AD21" s="24"/>
      <c r="AE21" s="24"/>
    </row>
    <row r="22" ht="14.6" spans="2:60">
      <c r="B22" s="23"/>
      <c r="C22" s="39" t="s">
        <v>102</v>
      </c>
      <c r="D22" s="42" t="s">
        <v>103</v>
      </c>
      <c r="E22" s="21" t="str">
        <f t="shared" si="6"/>
        <v>2.79</v>
      </c>
      <c r="F22" s="21" t="str">
        <f t="shared" si="7"/>
        <v>0.16</v>
      </c>
      <c r="G22" s="44"/>
      <c r="H22" s="21" t="str">
        <f t="shared" si="12"/>
        <v/>
      </c>
      <c r="I22" s="21" t="str">
        <f t="shared" si="13"/>
        <v/>
      </c>
      <c r="J22" s="39" t="s">
        <v>104</v>
      </c>
      <c r="K22" s="21" t="str">
        <f t="shared" si="8"/>
        <v>0.77</v>
      </c>
      <c r="L22" s="21" t="str">
        <f t="shared" si="9"/>
        <v>0.02</v>
      </c>
      <c r="N22" s="21" t="str">
        <f t="shared" si="14"/>
        <v/>
      </c>
      <c r="O22" s="21" t="str">
        <f t="shared" si="15"/>
        <v/>
      </c>
      <c r="P22" s="39"/>
      <c r="Q22" s="21" t="str">
        <f t="shared" si="10"/>
        <v/>
      </c>
      <c r="R22" s="21" t="str">
        <f t="shared" si="11"/>
        <v/>
      </c>
      <c r="S22" s="39" t="s">
        <v>105</v>
      </c>
      <c r="T22" s="21" t="str">
        <f>LEFT(S22,5)</f>
        <v>10.86</v>
      </c>
      <c r="U22" s="21" t="str">
        <f>RIGHT(S22,4)</f>
        <v>1.02</v>
      </c>
      <c r="V22">
        <f>60*T22</f>
        <v>651.6</v>
      </c>
      <c r="W22">
        <f>60*U22</f>
        <v>61.2</v>
      </c>
    </row>
    <row r="23" ht="14.65" spans="2:60">
      <c r="B23" s="23" t="s">
        <v>106</v>
      </c>
      <c r="C23" s="39" t="s">
        <v>107</v>
      </c>
      <c r="D23" s="42" t="s">
        <v>108</v>
      </c>
      <c r="E23" s="21" t="str">
        <f t="shared" si="6"/>
        <v>1.35</v>
      </c>
      <c r="F23" s="21" t="str">
        <f t="shared" si="7"/>
        <v>0.12</v>
      </c>
      <c r="G23" s="44"/>
      <c r="H23" s="21" t="str">
        <f t="shared" si="12"/>
        <v/>
      </c>
      <c r="I23" s="21" t="str">
        <f t="shared" si="13"/>
        <v/>
      </c>
      <c r="J23" s="39" t="s">
        <v>109</v>
      </c>
      <c r="K23" s="21" t="str">
        <f t="shared" si="8"/>
        <v>0.60</v>
      </c>
      <c r="L23" s="21" t="str">
        <f t="shared" si="9"/>
        <v>0.03</v>
      </c>
      <c r="N23" s="21" t="str">
        <f t="shared" si="14"/>
        <v/>
      </c>
      <c r="O23" s="21" t="str">
        <f t="shared" si="15"/>
        <v/>
      </c>
      <c r="P23" s="39"/>
      <c r="Q23" s="21" t="str">
        <f t="shared" si="10"/>
        <v/>
      </c>
      <c r="R23" s="21" t="str">
        <f t="shared" si="11"/>
        <v/>
      </c>
      <c r="S23" s="39" t="s">
        <v>110</v>
      </c>
      <c r="T23" s="21" t="str">
        <f>LEFT(S23,4)</f>
        <v>6.30</v>
      </c>
      <c r="U23" s="21" t="str">
        <f>RIGHT(S23,4)</f>
        <v>1.33</v>
      </c>
      <c r="V23">
        <f>60*T23</f>
        <v>378</v>
      </c>
      <c r="W23">
        <f>60*U23</f>
        <v>79.8</v>
      </c>
    </row>
    <row r="24" ht="14.6" spans="2:60">
      <c r="B24" s="23"/>
      <c r="C24" s="39" t="s">
        <v>111</v>
      </c>
      <c r="D24" s="42" t="s">
        <v>112</v>
      </c>
      <c r="E24" s="21" t="str">
        <f t="shared" si="6"/>
        <v>1.70</v>
      </c>
      <c r="F24" s="21" t="str">
        <f t="shared" si="7"/>
        <v>0.12</v>
      </c>
      <c r="G24" s="44"/>
      <c r="H24" s="21" t="str">
        <f t="shared" si="12"/>
        <v/>
      </c>
      <c r="I24" s="21" t="str">
        <f t="shared" si="13"/>
        <v/>
      </c>
      <c r="J24" s="39" t="s">
        <v>113</v>
      </c>
      <c r="K24" s="21" t="str">
        <f t="shared" si="8"/>
        <v>0.64</v>
      </c>
      <c r="L24" s="21" t="str">
        <f t="shared" si="9"/>
        <v>0.03</v>
      </c>
      <c r="N24" s="21" t="str">
        <f t="shared" si="14"/>
        <v/>
      </c>
      <c r="O24" s="21" t="str">
        <f t="shared" si="15"/>
        <v/>
      </c>
      <c r="P24" s="39"/>
      <c r="Q24" s="21" t="str">
        <f t="shared" si="10"/>
        <v/>
      </c>
      <c r="R24" s="21" t="str">
        <f t="shared" si="11"/>
        <v/>
      </c>
      <c r="S24" s="39" t="s">
        <v>114</v>
      </c>
      <c r="T24" s="21" t="str">
        <f>LEFT(S24,4)</f>
        <v>8.91</v>
      </c>
      <c r="U24" s="21" t="str">
        <f>RIGHT(S24,4)</f>
        <v>1.12</v>
      </c>
      <c r="V24">
        <f>60*T24</f>
        <v>534.6</v>
      </c>
      <c r="W24">
        <f>60*U24</f>
        <v>67.2</v>
      </c>
    </row>
    <row r="25" ht="14.6" spans="2:60">
      <c r="B25" s="23"/>
      <c r="C25" s="39" t="s">
        <v>115</v>
      </c>
      <c r="D25" s="42" t="s">
        <v>116</v>
      </c>
      <c r="E25" s="21" t="str">
        <f t="shared" si="6"/>
        <v>1.71</v>
      </c>
      <c r="F25" s="21" t="str">
        <f t="shared" si="7"/>
        <v>0.21</v>
      </c>
      <c r="G25" s="44"/>
      <c r="H25" s="21" t="str">
        <f t="shared" si="12"/>
        <v/>
      </c>
      <c r="I25" s="21" t="str">
        <f t="shared" si="13"/>
        <v/>
      </c>
      <c r="J25" s="39" t="s">
        <v>117</v>
      </c>
      <c r="K25" s="21" t="str">
        <f t="shared" si="8"/>
        <v>0.67</v>
      </c>
      <c r="L25" s="21" t="str">
        <f t="shared" si="9"/>
        <v>0.02</v>
      </c>
      <c r="N25" s="21" t="str">
        <f t="shared" si="14"/>
        <v/>
      </c>
      <c r="O25" s="21" t="str">
        <f t="shared" si="15"/>
        <v/>
      </c>
      <c r="P25" s="39"/>
      <c r="Q25" s="21" t="str">
        <f t="shared" si="10"/>
        <v/>
      </c>
      <c r="R25" s="21" t="str">
        <f t="shared" si="11"/>
        <v/>
      </c>
      <c r="S25" s="39" t="s">
        <v>118</v>
      </c>
      <c r="T25" s="21" t="str">
        <f>LEFT(S25,5)</f>
        <v>11.09</v>
      </c>
      <c r="U25" s="21" t="str">
        <f>RIGHT(S25,4)</f>
        <v>0.94</v>
      </c>
      <c r="V25">
        <f>60*T25</f>
        <v>665.4</v>
      </c>
      <c r="W25">
        <f>60*U25</f>
        <v>56.4</v>
      </c>
    </row>
    <row r="26" ht="14.65" spans="2:60">
      <c r="B26" s="18" t="s">
        <v>119</v>
      </c>
      <c r="C26" s="46" t="s">
        <v>120</v>
      </c>
      <c r="D26" s="46"/>
      <c r="E26" s="46"/>
      <c r="F26" s="46"/>
      <c r="G26" s="47" t="s">
        <v>121</v>
      </c>
      <c r="H26" s="21" t="str">
        <f t="shared" si="12"/>
        <v>体质量-第</v>
      </c>
      <c r="I26" s="21" t="str">
        <f t="shared" si="13"/>
        <v>-第15天</v>
      </c>
      <c r="M26" s="21" t="s">
        <v>122</v>
      </c>
      <c r="N26" s="21" t="str">
        <f t="shared" si="14"/>
        <v>抓力-第</v>
      </c>
      <c r="O26" s="21" t="str">
        <f t="shared" si="15"/>
        <v>第15天</v>
      </c>
      <c r="P26" s="21" t="s">
        <v>123</v>
      </c>
      <c r="Q26" s="21" t="str">
        <f t="shared" si="10"/>
        <v>MyoD</v>
      </c>
      <c r="R26" s="21" t="str">
        <f t="shared" si="11"/>
        <v>RNA）</v>
      </c>
      <c r="S26" s="48" t="s">
        <v>124</v>
      </c>
      <c r="V26" s="21" t="str">
        <f>LEFT(S26,4)</f>
        <v>力竭游泳</v>
      </c>
      <c r="W26" s="21" t="str">
        <f>RIGHT(S26,4)</f>
        <v>第15天</v>
      </c>
    </row>
    <row r="27" ht="26.25" spans="2:60">
      <c r="B27" s="46" t="s">
        <v>125</v>
      </c>
      <c r="C27" s="46" t="s">
        <v>126</v>
      </c>
      <c r="D27" s="46"/>
      <c r="E27" s="46"/>
      <c r="F27" s="46"/>
      <c r="G27" s="47" t="s">
        <v>127</v>
      </c>
      <c r="H27" s="21" t="str">
        <f>LEFT(G27,6)</f>
        <v>325.88</v>
      </c>
      <c r="I27" s="21" t="str">
        <f t="shared" si="13"/>
        <v>10.63</v>
      </c>
      <c r="M27" s="46" t="s">
        <v>128</v>
      </c>
      <c r="N27" s="21" t="str">
        <f>LEFT(M27,7)</f>
        <v>1692.75</v>
      </c>
      <c r="O27" s="21" t="str">
        <f>RIGHT(M27,5)</f>
        <v>92.92</v>
      </c>
      <c r="P27" s="46" t="s">
        <v>129</v>
      </c>
      <c r="Q27" s="21" t="str">
        <f>LEFT(P27,6)</f>
        <v>1.3940</v>
      </c>
      <c r="R27" s="21" t="str">
        <f>RIGHT(P27,6)</f>
        <v>0.1203</v>
      </c>
      <c r="S27" s="46" t="s">
        <v>130</v>
      </c>
      <c r="V27" s="21" t="str">
        <f>LEFT(S27,6)</f>
        <v>831.00</v>
      </c>
      <c r="W27" s="21" t="str">
        <f>RIGHT(S27,6)</f>
        <v>134.02</v>
      </c>
    </row>
    <row r="28" ht="26.25" spans="2:60">
      <c r="B28" s="46" t="s">
        <v>125</v>
      </c>
      <c r="C28" s="46" t="s">
        <v>107</v>
      </c>
      <c r="D28" s="46"/>
      <c r="E28" s="46"/>
      <c r="F28" s="46"/>
      <c r="G28" s="47" t="s">
        <v>131</v>
      </c>
      <c r="H28" s="21" t="str">
        <f>LEFT(G28,6)</f>
        <v>215.12</v>
      </c>
      <c r="I28" s="21" t="str">
        <f t="shared" si="13"/>
        <v>17.86</v>
      </c>
      <c r="M28" s="46" t="s">
        <v>132</v>
      </c>
      <c r="N28" s="21" t="str">
        <f>LEFT(M28,7)</f>
        <v>1264.63</v>
      </c>
      <c r="O28" s="21" t="str">
        <f>RIGHT(M28,6)</f>
        <v>121.95</v>
      </c>
      <c r="P28" s="46" t="s">
        <v>133</v>
      </c>
      <c r="Q28" s="21" t="str">
        <f>LEFT(P28,6)</f>
        <v>0.7883</v>
      </c>
      <c r="R28" s="21" t="str">
        <f>RIGHT(P28,6)</f>
        <v>0.0134</v>
      </c>
      <c r="S28" s="46" t="s">
        <v>134</v>
      </c>
      <c r="V28" s="21" t="str">
        <f>LEFT(S28,6)</f>
        <v>422.43</v>
      </c>
      <c r="W28" s="21" t="str">
        <f>RIGHT(S28,6)</f>
        <v>158.67</v>
      </c>
    </row>
    <row r="29" ht="26.25" spans="2:60">
      <c r="B29" s="46" t="s">
        <v>125</v>
      </c>
      <c r="C29" s="46" t="s">
        <v>135</v>
      </c>
      <c r="D29" s="46"/>
      <c r="E29" s="46"/>
      <c r="F29" s="46"/>
      <c r="G29" s="47" t="s">
        <v>136</v>
      </c>
      <c r="H29" s="21" t="str">
        <f>LEFT(G29,6)</f>
        <v>276.87</v>
      </c>
      <c r="I29" s="21" t="str">
        <f t="shared" si="13"/>
        <v>18.78</v>
      </c>
      <c r="M29" s="46" t="s">
        <v>137</v>
      </c>
      <c r="N29" s="21" t="str">
        <f>LEFT(M29,7)</f>
        <v>1513.25</v>
      </c>
      <c r="O29" s="21" t="str">
        <f>RIGHT(M29,5)</f>
        <v>94.81</v>
      </c>
      <c r="P29" s="46" t="s">
        <v>138</v>
      </c>
      <c r="Q29" s="21" t="str">
        <f>LEFT(P29,6)</f>
        <v>0.7290</v>
      </c>
      <c r="R29" s="21" t="str">
        <f>RIGHT(P29,6)</f>
        <v>0.0355</v>
      </c>
      <c r="S29" s="46" t="s">
        <v>139</v>
      </c>
      <c r="V29" s="21" t="str">
        <f>LEFT(S29,6)</f>
        <v>527.29</v>
      </c>
      <c r="W29" s="21" t="str">
        <f>RIGHT(S29,5)</f>
        <v>98.29</v>
      </c>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row>
    <row r="30" ht="26.25" spans="2:60">
      <c r="B30" s="46" t="s">
        <v>125</v>
      </c>
      <c r="C30" s="46" t="s">
        <v>140</v>
      </c>
      <c r="D30" s="46"/>
      <c r="E30" s="46"/>
      <c r="F30" s="46"/>
      <c r="G30" s="47" t="s">
        <v>141</v>
      </c>
      <c r="H30" s="21" t="str">
        <f>LEFT(G30,6)</f>
        <v>285.12</v>
      </c>
      <c r="I30" s="21" t="str">
        <f t="shared" si="13"/>
        <v>16.93</v>
      </c>
      <c r="M30" s="46" t="s">
        <v>142</v>
      </c>
      <c r="N30" s="21" t="str">
        <f>LEFT(M30,7)</f>
        <v>1572.50</v>
      </c>
      <c r="O30" s="21" t="str">
        <f>RIGHT(M30,5)</f>
        <v>69.05</v>
      </c>
      <c r="P30" s="46" t="s">
        <v>143</v>
      </c>
      <c r="Q30" s="21" t="str">
        <f>LEFT(P30,6)</f>
        <v>1.0060</v>
      </c>
      <c r="R30" s="21" t="str">
        <f>RIGHT(P30,6)</f>
        <v>0.1299</v>
      </c>
      <c r="S30" s="46" t="s">
        <v>144</v>
      </c>
      <c r="V30" s="21" t="str">
        <f>LEFT(S30,6)</f>
        <v>682.00</v>
      </c>
      <c r="W30" s="21" t="str">
        <f>RIGHT(S30,6)</f>
        <v>101.41</v>
      </c>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row>
    <row r="31" ht="26.25" spans="2:60">
      <c r="B31" s="46" t="s">
        <v>125</v>
      </c>
      <c r="C31" s="46" t="s">
        <v>145</v>
      </c>
      <c r="D31" s="46"/>
      <c r="E31" s="46"/>
      <c r="F31" s="46"/>
      <c r="G31" s="47" t="s">
        <v>146</v>
      </c>
      <c r="H31" s="21" t="str">
        <f>LEFT(G31,6)</f>
        <v>273.50</v>
      </c>
      <c r="I31" s="21" t="str">
        <f t="shared" si="13"/>
        <v>20.91</v>
      </c>
      <c r="J31" s="27" t="s">
        <v>147</v>
      </c>
      <c r="M31" s="46" t="s">
        <v>148</v>
      </c>
      <c r="N31" s="21" t="str">
        <f>LEFT(M31,7)</f>
        <v>1451.75</v>
      </c>
      <c r="O31" s="21" t="str">
        <f>RIGHT(M31,6)</f>
        <v>113.51</v>
      </c>
      <c r="P31" s="46" t="s">
        <v>149</v>
      </c>
      <c r="Q31" s="21" t="str">
        <f>LEFT(P31,6)</f>
        <v>0.8908</v>
      </c>
      <c r="R31" s="21" t="str">
        <f>RIGHT(P31,6)</f>
        <v>0.1392</v>
      </c>
      <c r="S31" s="46" t="s">
        <v>150</v>
      </c>
      <c r="V31" s="21" t="str">
        <f>LEFT(S31,6)</f>
        <v>599.14</v>
      </c>
      <c r="W31" s="21" t="str">
        <f>RIGHT(S31,5)</f>
        <v>80.97</v>
      </c>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row>
    <row r="32" ht="14.6" spans="2:60">
      <c r="B32" s="29" t="s">
        <v>151</v>
      </c>
      <c r="J32" s="30" t="s">
        <v>152</v>
      </c>
      <c r="K32" s="21" t="str">
        <f t="shared" ref="K32:K35" si="16">LEFT(J32,4)</f>
        <v>3.77</v>
      </c>
      <c r="L32" s="21" t="str">
        <f t="shared" ref="L32:L35" si="17">RIGHT(J32,4)</f>
        <v>0.25</v>
      </c>
    </row>
    <row r="33" ht="14.6" spans="1:45">
      <c r="B33" t="s">
        <v>153</v>
      </c>
      <c r="C33" t="s">
        <v>107</v>
      </c>
      <c r="J33" s="30" t="s">
        <v>154</v>
      </c>
      <c r="K33" s="21" t="str">
        <f t="shared" si="16"/>
        <v>4.38</v>
      </c>
      <c r="L33" s="21" t="str">
        <f t="shared" si="17"/>
        <v>0.14</v>
      </c>
    </row>
    <row r="34" ht="14.25" spans="1:45">
      <c r="C34" t="s">
        <v>155</v>
      </c>
      <c r="K34" s="21" t="str">
        <f t="shared" si="16"/>
        <v/>
      </c>
      <c r="L34" s="21" t="str">
        <f t="shared" si="17"/>
        <v/>
      </c>
    </row>
    <row r="35" ht="14.25" spans="1:45">
      <c r="K35" s="21" t="str">
        <f t="shared" si="16"/>
        <v/>
      </c>
      <c r="L35" s="21" t="str">
        <f t="shared" si="17"/>
        <v/>
      </c>
    </row>
    <row r="36" ht="51.75" spans="1:45">
      <c r="A36" t="s">
        <v>156</v>
      </c>
      <c r="B36" s="18" t="s">
        <v>157</v>
      </c>
      <c r="C36" s="33" t="s">
        <v>158</v>
      </c>
      <c r="D36" s="49" t="s">
        <v>159</v>
      </c>
      <c r="E36" s="49">
        <v>0.6</v>
      </c>
      <c r="F36" s="49" t="s">
        <v>160</v>
      </c>
      <c r="G36" s="49" t="s">
        <v>161</v>
      </c>
      <c r="H36" s="49">
        <v>0.6</v>
      </c>
      <c r="I36" s="49"/>
      <c r="J36" s="49" t="s">
        <v>162</v>
      </c>
      <c r="K36" s="49">
        <v>0.6</v>
      </c>
      <c r="L36" s="49"/>
      <c r="M36" s="33" t="s">
        <v>163</v>
      </c>
      <c r="N36" s="33"/>
      <c r="O36" s="33"/>
      <c r="P36" s="49" t="s">
        <v>164</v>
      </c>
      <c r="Q36" s="49"/>
      <c r="R36" s="49"/>
      <c r="S36" s="33" t="s">
        <v>165</v>
      </c>
      <c r="T36" s="33"/>
      <c r="U36" s="33"/>
      <c r="V36" s="49" t="s">
        <v>166</v>
      </c>
      <c r="W36" s="49"/>
      <c r="X36" s="49"/>
      <c r="Y36" s="33" t="s">
        <v>167</v>
      </c>
      <c r="Z36" s="33"/>
      <c r="AA36" s="33"/>
      <c r="AB36" s="49" t="s">
        <v>168</v>
      </c>
      <c r="AC36" s="33"/>
      <c r="AD36" s="33"/>
      <c r="AE36" s="33" t="s">
        <v>169</v>
      </c>
      <c r="AF36" s="49"/>
      <c r="AG36" s="49"/>
      <c r="AH36" s="49" t="s">
        <v>170</v>
      </c>
      <c r="AI36" s="33"/>
      <c r="AJ36" s="33"/>
      <c r="AK36" s="33" t="s">
        <v>171</v>
      </c>
      <c r="AL36" s="49"/>
      <c r="AM36" s="49"/>
      <c r="AN36" s="49" t="s">
        <v>172</v>
      </c>
      <c r="AO36" s="33"/>
      <c r="AP36" s="33"/>
      <c r="AQ36" s="33" t="s">
        <v>173</v>
      </c>
    </row>
    <row r="37" ht="14.25" spans="1:45">
      <c r="B37" t="s">
        <v>174</v>
      </c>
      <c r="C37" s="33" t="s">
        <v>175</v>
      </c>
      <c r="D37" s="49" t="s">
        <v>176</v>
      </c>
      <c r="E37" s="21" t="str">
        <f>LEFT(D37,4)</f>
        <v>5.7 </v>
      </c>
      <c r="F37" s="21">
        <f>RIGHT(D37,4)/1.35</f>
        <v>0.814814814814815</v>
      </c>
      <c r="G37" s="49" t="s">
        <v>177</v>
      </c>
      <c r="H37" s="21" t="str">
        <f>LEFT(G37,4)</f>
        <v>5.6 </v>
      </c>
      <c r="I37" s="21">
        <f>RIGHT(G37,4)/1.35</f>
        <v>0.814814814814815</v>
      </c>
      <c r="J37" s="33" t="s">
        <v>178</v>
      </c>
      <c r="K37" s="21" t="str">
        <f t="shared" ref="K37:K43" si="18">LEFT(J37,4)</f>
        <v>22.6</v>
      </c>
      <c r="L37" s="21">
        <f>RIGHT(J37,4)/1.35</f>
        <v>7.40740740740741</v>
      </c>
      <c r="M37" s="33" t="s">
        <v>179</v>
      </c>
      <c r="N37" s="21" t="str">
        <f t="shared" ref="N37:N43" si="19">LEFT(M37,4)</f>
        <v>20.4</v>
      </c>
      <c r="O37" s="21">
        <f>RIGHT(M37,4)/1.35</f>
        <v>9.25925925925926</v>
      </c>
      <c r="P37" s="33" t="s">
        <v>180</v>
      </c>
      <c r="Q37" s="21" t="str">
        <f t="shared" ref="Q37:Q41" si="20">LEFT(P37,4)</f>
        <v>11.1</v>
      </c>
      <c r="R37" s="21">
        <f>RIGHT(P37,4)/1.35</f>
        <v>3.48148148148148</v>
      </c>
      <c r="S37" s="33" t="s">
        <v>181</v>
      </c>
      <c r="T37" s="21" t="str">
        <f t="shared" ref="T37:T41" si="21">LEFT(S37,4)</f>
        <v>12.3</v>
      </c>
      <c r="U37" s="21">
        <f>RIGHT(S37,4)/1.35</f>
        <v>4.44444444444444</v>
      </c>
      <c r="V37" s="33" t="s">
        <v>182</v>
      </c>
      <c r="W37" s="21" t="str">
        <f t="shared" ref="W37:W43" si="22">LEFT(V37,4)</f>
        <v>2.0 </v>
      </c>
      <c r="X37" s="21">
        <f>RIGHT(V37,4)/1.35</f>
        <v>1.48148148148148</v>
      </c>
      <c r="Y37" s="33" t="s">
        <v>183</v>
      </c>
      <c r="Z37" s="21" t="str">
        <f t="shared" ref="Z37:Z43" si="23">LEFT(Y37,4)</f>
        <v>2.0 </v>
      </c>
      <c r="AA37" s="21">
        <f>RIGHT(Y37,4)/1.35</f>
        <v>1.48148148148148</v>
      </c>
      <c r="AB37" s="33" t="s">
        <v>184</v>
      </c>
      <c r="AC37" s="21" t="str">
        <f t="shared" ref="AC37:AC43" si="24">LEFT(AB37,4)</f>
        <v>12.0</v>
      </c>
      <c r="AD37" s="21">
        <f>RIGHT(AB37,4)/1.35</f>
        <v>0.740740740740741</v>
      </c>
      <c r="AE37" s="33" t="s">
        <v>185</v>
      </c>
      <c r="AF37" s="21" t="str">
        <f t="shared" ref="AF37:AF41" si="25">LEFT(AE37,4)</f>
        <v>12.0</v>
      </c>
      <c r="AG37" s="21">
        <f>RIGHT(AE37,4)/1.35</f>
        <v>2.22222222222222</v>
      </c>
      <c r="AH37" s="33" t="s">
        <v>186</v>
      </c>
      <c r="AI37" s="21" t="str">
        <f>LEFT(AH37,5)</f>
        <v>693.0</v>
      </c>
      <c r="AJ37" s="21">
        <f>RIGHT(AH37,4)/1.35</f>
        <v>831.111111111111</v>
      </c>
      <c r="AK37" s="33" t="s">
        <v>187</v>
      </c>
      <c r="AL37" s="21" t="str">
        <f>LEFT(AK37,5)</f>
        <v>462.0</v>
      </c>
      <c r="AM37" s="21">
        <f>RIGHT(AK37,4)/1.35</f>
        <v>855.555555555556</v>
      </c>
      <c r="AN37" s="33" t="s">
        <v>188</v>
      </c>
      <c r="AO37" s="21" t="str">
        <f>LEFT(AN37,5)</f>
        <v>8.0  </v>
      </c>
      <c r="AP37" s="21">
        <f>RIGHT(AN37,4)/1.35</f>
        <v>3.7037037037037</v>
      </c>
      <c r="AQ37" s="33" t="s">
        <v>189</v>
      </c>
      <c r="AR37" s="21" t="str">
        <f t="shared" ref="AR37:AR43" si="26">LEFT(AQ37,4)</f>
        <v>10.0</v>
      </c>
      <c r="AS37" s="21">
        <f>RIGHT(AQ37,4)/1.35</f>
        <v>5.18518518518519</v>
      </c>
    </row>
    <row r="38" ht="26.25" spans="1:45">
      <c r="C38" s="33" t="s">
        <v>190</v>
      </c>
      <c r="D38" s="49" t="s">
        <v>191</v>
      </c>
      <c r="E38" s="21" t="str">
        <f>LEFT(D38,4)</f>
        <v>6.3 </v>
      </c>
      <c r="F38" s="21">
        <f>RIGHT(D38,4)/1.35</f>
        <v>0.888888888888889</v>
      </c>
      <c r="G38" s="49" t="s">
        <v>192</v>
      </c>
      <c r="H38" s="21" t="str">
        <f>LEFT(G38,4)</f>
        <v>5.5 </v>
      </c>
      <c r="I38" s="21">
        <f>RIGHT(G38,4)/1.35</f>
        <v>0.814814814814815</v>
      </c>
      <c r="J38" s="33" t="s">
        <v>193</v>
      </c>
      <c r="K38" s="21" t="str">
        <f t="shared" si="18"/>
        <v>22.3</v>
      </c>
      <c r="L38" s="21">
        <f>RIGHT(J38,4)/1.35</f>
        <v>7.85185185185185</v>
      </c>
      <c r="M38" s="33" t="s">
        <v>194</v>
      </c>
      <c r="N38" s="21" t="str">
        <f t="shared" si="19"/>
        <v>20.4</v>
      </c>
      <c r="O38" s="21">
        <f>RIGHT(M38,4)/1.35</f>
        <v>5.55555555555556</v>
      </c>
      <c r="P38" s="33" t="s">
        <v>195</v>
      </c>
      <c r="Q38" s="21" t="str">
        <f t="shared" si="20"/>
        <v>8.9 </v>
      </c>
      <c r="R38" s="21">
        <f>RIGHT(P38,4)/1.35</f>
        <v>3.55555555555556</v>
      </c>
      <c r="S38" s="33" t="s">
        <v>196</v>
      </c>
      <c r="T38" s="21" t="str">
        <f t="shared" si="21"/>
        <v>11.0</v>
      </c>
      <c r="U38" s="21">
        <f>RIGHT(S38,4)/1.35</f>
        <v>3.55555555555556</v>
      </c>
      <c r="V38" s="33" t="s">
        <v>197</v>
      </c>
      <c r="W38" s="21" t="str">
        <f t="shared" si="22"/>
        <v>1.0 </v>
      </c>
      <c r="X38" s="21">
        <f>RIGHT(V38,4)/1.35</f>
        <v>1.48148148148148</v>
      </c>
      <c r="Y38" s="33" t="s">
        <v>198</v>
      </c>
      <c r="Z38" s="21" t="str">
        <f t="shared" si="23"/>
        <v>2.0 </v>
      </c>
      <c r="AA38" s="21">
        <f>RIGHT(Y38,4)/1.35</f>
        <v>0.740740740740741</v>
      </c>
      <c r="AB38" s="33" t="s">
        <v>184</v>
      </c>
      <c r="AC38" s="21" t="str">
        <f t="shared" si="24"/>
        <v>12.0</v>
      </c>
      <c r="AD38" s="21">
        <f>RIGHT(AB38,4)/1.35</f>
        <v>0.740740740740741</v>
      </c>
      <c r="AE38" s="33" t="s">
        <v>199</v>
      </c>
      <c r="AF38" s="21" t="str">
        <f t="shared" si="25"/>
        <v>12.0</v>
      </c>
      <c r="AG38" s="21">
        <f>RIGHT(AE38,4)/1.35</f>
        <v>1.48148148148148</v>
      </c>
      <c r="AH38" s="33" t="s">
        <v>200</v>
      </c>
      <c r="AI38" s="21" t="str">
        <f t="shared" ref="AI38:AI43" si="27">LEFT(AH38,6)</f>
        <v>1386.0</v>
      </c>
      <c r="AJ38" s="21">
        <f>RIGHT(AH38,4)/1.35</f>
        <v>32.4444444444444</v>
      </c>
      <c r="AK38" s="33" t="s">
        <v>201</v>
      </c>
      <c r="AL38" s="21" t="str">
        <f>LEFT(AK38,5)</f>
        <v>693.0</v>
      </c>
      <c r="AM38" s="21">
        <f>RIGHT(AK38,4)/1.35</f>
        <v>775.555555555556</v>
      </c>
      <c r="AN38" s="33" t="s">
        <v>202</v>
      </c>
      <c r="AO38" s="21" t="str">
        <f>LEFT(AN38,6)</f>
        <v>6.0   </v>
      </c>
      <c r="AP38" s="21">
        <f>RIGHT(AN38,4)/1.35</f>
        <v>2.22222222222222</v>
      </c>
      <c r="AQ38" s="33" t="s">
        <v>203</v>
      </c>
      <c r="AR38" s="21" t="str">
        <f t="shared" si="26"/>
        <v>9.0 </v>
      </c>
      <c r="AS38" s="21">
        <f>RIGHT(AQ38,4)/1.35</f>
        <v>2.96296296296296</v>
      </c>
    </row>
    <row r="39" ht="14.25" spans="1:45">
      <c r="D39" s="20" t="s">
        <v>29</v>
      </c>
      <c r="E39" s="21">
        <f>E38-E37</f>
        <v>0.6</v>
      </c>
      <c r="F39" s="21">
        <f>SQRT(F37^2+F38^2-2*0.6*F37*F38)</f>
        <v>0.764794636986092</v>
      </c>
      <c r="G39" s="21" t="e">
        <f>SQRT(G37^2+G38^2-2*0.6*G37*G38)</f>
        <v>#VALUE!</v>
      </c>
      <c r="H39" s="21">
        <f>H38-H37</f>
        <v>-0.0999999999999996</v>
      </c>
      <c r="I39" s="21">
        <f>SQRT(I37^2+I38^2-2*0.6*I37*I38)</f>
        <v>0.728792525999932</v>
      </c>
      <c r="J39" s="21" t="e">
        <f>SQRT(J37^2+J38^2-2*0.6*J37*J38)</f>
        <v>#VALUE!</v>
      </c>
      <c r="K39" s="21">
        <f>K38-K37</f>
        <v>-0.300000000000001</v>
      </c>
      <c r="L39" s="21">
        <f>SQRT(L37^2+L38^2-2*0.6*L37*L38)</f>
        <v>6.83571673781294</v>
      </c>
      <c r="M39" s="21" t="e">
        <f>SQRT(M37^2+M38^2-2*0.6*M37*M38)</f>
        <v>#VALUE!</v>
      </c>
      <c r="N39" s="21">
        <f>N38-N37</f>
        <v>0</v>
      </c>
      <c r="O39" s="21">
        <f>SQRT(O37^2+O38^2-2*0.6*O37*O38)</f>
        <v>7.40740740740741</v>
      </c>
      <c r="P39" s="21" t="e">
        <f>SQRT(P37^2+P38^2-2*0.6*P37*P38)</f>
        <v>#VALUE!</v>
      </c>
      <c r="Q39" s="21">
        <f>Q38-Q37</f>
        <v>-2.2</v>
      </c>
      <c r="R39" s="21">
        <f>SQRT(R37^2+R38^2-2*0.6*R37*R38)</f>
        <v>3.14775596685737</v>
      </c>
      <c r="S39" s="21" t="e">
        <f>SQRT(S37^2+S38^2-2*0.6*S37*S38)</f>
        <v>#VALUE!</v>
      </c>
      <c r="T39" s="21">
        <f>T38-T37</f>
        <v>-1.3</v>
      </c>
      <c r="U39" s="21">
        <f>SQRT(U37^2+U38^2-2*0.6*U37*U38)</f>
        <v>3.66498277832681</v>
      </c>
      <c r="V39" s="21" t="e">
        <f>SQRT(V37^2+V38^2-2*0.6*V37*V38)</f>
        <v>#VALUE!</v>
      </c>
      <c r="W39" s="21">
        <f>W38-W37</f>
        <v>-1</v>
      </c>
      <c r="X39" s="21">
        <f>SQRT(X37^2+X38^2-2*0.6*X37*X38)</f>
        <v>1.32507731999987</v>
      </c>
      <c r="Y39" s="21" t="e">
        <f t="shared" ref="Y39:AD39" si="28">SQRT(Y37^2+Y38^2-2*0.6*Y37*Y38)</f>
        <v>#VALUE!</v>
      </c>
      <c r="Z39" s="21">
        <f>Z38-Z37</f>
        <v>0</v>
      </c>
      <c r="AA39" s="21">
        <f t="shared" si="28"/>
        <v>1.19440855530349</v>
      </c>
      <c r="AB39" s="21" t="e">
        <f t="shared" si="28"/>
        <v>#VALUE!</v>
      </c>
      <c r="AC39" s="21">
        <f>AC38-AC37</f>
        <v>0</v>
      </c>
      <c r="AD39" s="21">
        <f t="shared" si="28"/>
        <v>0.662538659999938</v>
      </c>
      <c r="AE39" s="21" t="e">
        <f t="shared" ref="AE39:AJ39" si="29">SQRT(AE37^2+AE38^2-2*0.6*AE37*AE38)</f>
        <v>#VALUE!</v>
      </c>
      <c r="AF39" s="21">
        <f>AF38-AF37</f>
        <v>0</v>
      </c>
      <c r="AG39" s="21">
        <f t="shared" si="29"/>
        <v>1.78393993759886</v>
      </c>
      <c r="AH39" s="21" t="e">
        <f t="shared" ref="AH39:AM39" si="30">SQRT(AH37^2+AH38^2-2*0.6*AH37*AH38)</f>
        <v>#VALUE!</v>
      </c>
      <c r="AI39" s="21">
        <f>AI38-AI37</f>
        <v>693</v>
      </c>
      <c r="AJ39" s="21">
        <f t="shared" si="29"/>
        <v>812.059354395803</v>
      </c>
      <c r="AK39" s="21" t="e">
        <f t="shared" si="30"/>
        <v>#VALUE!</v>
      </c>
      <c r="AL39" s="21">
        <f>AL38-AL37</f>
        <v>231</v>
      </c>
      <c r="AM39" s="21">
        <f t="shared" si="30"/>
        <v>732.956131946534</v>
      </c>
      <c r="AN39" s="21" t="e">
        <f t="shared" ref="AN39:AS39" si="31">SQRT(AN37^2+AN38^2-2*0.6*AN37*AN38)</f>
        <v>#VALUE!</v>
      </c>
      <c r="AO39" s="21">
        <f>AO38-AO37</f>
        <v>-2</v>
      </c>
      <c r="AP39" s="21">
        <f t="shared" si="31"/>
        <v>2.96296296296296</v>
      </c>
      <c r="AQ39" s="21" t="e">
        <f t="shared" si="31"/>
        <v>#VALUE!</v>
      </c>
      <c r="AR39" s="21">
        <f>AR38-AR37</f>
        <v>-1</v>
      </c>
      <c r="AS39" s="21">
        <f t="shared" si="31"/>
        <v>4.15079280773983</v>
      </c>
    </row>
    <row r="40" ht="14.25" spans="1:45">
      <c r="E40" s="21" t="str">
        <f>LEFT(D40,4)</f>
        <v/>
      </c>
      <c r="F40" s="21" t="str">
        <f>RIGHT(D40,4)</f>
        <v/>
      </c>
      <c r="G40" s="50"/>
      <c r="H40" s="21" t="str">
        <f>LEFT(G40,4)</f>
        <v/>
      </c>
      <c r="I40" s="21" t="str">
        <f>RIGHT(G40,4)</f>
        <v/>
      </c>
      <c r="K40" s="21" t="str">
        <f t="shared" si="18"/>
        <v/>
      </c>
      <c r="L40" s="21" t="str">
        <f t="shared" ref="L37:L41" si="32">RIGHT(J40,4)</f>
        <v/>
      </c>
      <c r="N40" s="21" t="str">
        <f t="shared" si="19"/>
        <v/>
      </c>
      <c r="O40" s="21" t="str">
        <f t="shared" ref="O37:O43" si="33">RIGHT(M40,4)</f>
        <v/>
      </c>
      <c r="Q40" s="21" t="str">
        <f t="shared" si="20"/>
        <v/>
      </c>
      <c r="R40" s="21" t="str">
        <f t="shared" ref="R37:R41" si="34">RIGHT(P40,4)</f>
        <v/>
      </c>
      <c r="T40" s="21" t="str">
        <f t="shared" si="21"/>
        <v/>
      </c>
      <c r="U40" s="21" t="str">
        <f t="shared" ref="U37:U43" si="35">RIGHT(S40,4)</f>
        <v/>
      </c>
      <c r="W40" s="21" t="str">
        <f t="shared" si="22"/>
        <v/>
      </c>
      <c r="X40" s="21" t="str">
        <f>RIGHT(V40,4)</f>
        <v/>
      </c>
      <c r="Z40" s="21" t="str">
        <f t="shared" si="23"/>
        <v/>
      </c>
      <c r="AA40" s="21" t="str">
        <f t="shared" ref="AA37:AA43" si="36">RIGHT(Y40,4)</f>
        <v/>
      </c>
      <c r="AC40" s="21" t="str">
        <f t="shared" si="24"/>
        <v/>
      </c>
      <c r="AD40" s="21" t="str">
        <f t="shared" ref="AD37:AD41" si="37">RIGHT(AB40,4)</f>
        <v/>
      </c>
      <c r="AF40" s="21" t="str">
        <f t="shared" si="25"/>
        <v/>
      </c>
      <c r="AG40" s="21" t="str">
        <f t="shared" ref="AG37:AG43" si="38">RIGHT(AE40,4)</f>
        <v/>
      </c>
      <c r="AI40" s="21" t="str">
        <f>LEFT(AH40,4)</f>
        <v/>
      </c>
      <c r="AJ40" s="21" t="str">
        <f t="shared" ref="AJ37:AJ41" si="39">RIGHT(AH40,4)</f>
        <v/>
      </c>
      <c r="AL40" s="21" t="str">
        <f t="shared" ref="AL37:AL41" si="40">LEFT(AK40,4)</f>
        <v/>
      </c>
      <c r="AM40" s="21" t="str">
        <f>RIGHT(AK40,4)</f>
        <v/>
      </c>
      <c r="AO40" s="21" t="str">
        <f t="shared" ref="AO39:AO43" si="41">LEFT(AN40,4)</f>
        <v/>
      </c>
      <c r="AP40" s="21" t="str">
        <f t="shared" ref="AP37:AP41" si="42">RIGHT(AN40,4)</f>
        <v/>
      </c>
      <c r="AR40" s="21" t="str">
        <f t="shared" si="26"/>
        <v/>
      </c>
      <c r="AS40" s="21" t="str">
        <f t="shared" ref="AS37:AS43" si="43">RIGHT(AQ40,4)</f>
        <v/>
      </c>
    </row>
    <row r="41" ht="64.5" spans="1:45">
      <c r="B41" s="18" t="s">
        <v>204</v>
      </c>
      <c r="C41" s="46" t="s">
        <v>205</v>
      </c>
      <c r="D41" s="20" t="s">
        <v>206</v>
      </c>
      <c r="E41" s="21">
        <v>0.6</v>
      </c>
      <c r="F41" s="21" t="str">
        <f>RIGHT(D41,4)</f>
        <v>SQP组</v>
      </c>
      <c r="G41" s="50" t="s">
        <v>161</v>
      </c>
      <c r="H41" s="21">
        <v>0.6</v>
      </c>
      <c r="I41" s="21" t="str">
        <f>RIGHT(G41,4)</f>
        <v>对照组）</v>
      </c>
      <c r="J41" s="20" t="s">
        <v>207</v>
      </c>
      <c r="K41" s="21">
        <v>0.6</v>
      </c>
      <c r="L41" s="21" t="str">
        <f t="shared" si="32"/>
        <v>（握力）</v>
      </c>
      <c r="N41" s="21" t="str">
        <f t="shared" si="19"/>
        <v/>
      </c>
      <c r="O41" s="21" t="str">
        <f t="shared" si="33"/>
        <v/>
      </c>
      <c r="P41" s="20" t="s">
        <v>208</v>
      </c>
      <c r="Q41" s="21" t="str">
        <f t="shared" si="20"/>
        <v>FTSS</v>
      </c>
      <c r="R41" s="21" t="str">
        <f t="shared" si="34"/>
        <v>坐时间）</v>
      </c>
      <c r="T41" s="21" t="str">
        <f t="shared" si="21"/>
        <v/>
      </c>
      <c r="U41" s="21" t="str">
        <f t="shared" si="35"/>
        <v/>
      </c>
      <c r="V41" s="20" t="s">
        <v>209</v>
      </c>
      <c r="W41" s="21" t="str">
        <f t="shared" si="22"/>
        <v>FRAI</v>
      </c>
      <c r="X41" s="21" t="str">
        <f>RIGHT(V41,4)</f>
        <v>表评分）</v>
      </c>
      <c r="Z41" s="21" t="str">
        <f t="shared" si="23"/>
        <v/>
      </c>
      <c r="AA41" s="21" t="str">
        <f t="shared" si="36"/>
        <v/>
      </c>
      <c r="AB41" s="20" t="s">
        <v>210</v>
      </c>
      <c r="AC41" s="21" t="str">
        <f t="shared" si="24"/>
        <v>MNA-</v>
      </c>
      <c r="AD41" s="21" t="str">
        <f t="shared" si="37"/>
        <v>估简表）</v>
      </c>
      <c r="AF41" s="21" t="str">
        <f t="shared" si="25"/>
        <v/>
      </c>
      <c r="AG41" s="21" t="str">
        <f t="shared" si="38"/>
        <v/>
      </c>
      <c r="AH41" s="20" t="s">
        <v>211</v>
      </c>
      <c r="AI41" s="21" t="str">
        <f>LEFT(AH41,4)</f>
        <v>IPAQ</v>
      </c>
      <c r="AJ41" s="21" t="str">
        <f t="shared" si="39"/>
        <v>动量表）</v>
      </c>
      <c r="AL41" s="21" t="str">
        <f t="shared" si="40"/>
        <v/>
      </c>
      <c r="AM41" s="21" t="str">
        <f>RIGHT(AK41,4)</f>
        <v/>
      </c>
      <c r="AN41" s="20" t="s">
        <v>212</v>
      </c>
      <c r="AO41" s="21" t="str">
        <f t="shared" si="41"/>
        <v>PSQI</v>
      </c>
      <c r="AP41" s="21" t="str">
        <f t="shared" si="42"/>
        <v>量指数）</v>
      </c>
      <c r="AR41" s="21" t="str">
        <f t="shared" si="26"/>
        <v/>
      </c>
      <c r="AS41" s="21" t="str">
        <f t="shared" si="43"/>
        <v/>
      </c>
    </row>
    <row r="42" ht="64.5" spans="1:45">
      <c r="B42" t="s">
        <v>213</v>
      </c>
      <c r="C42" s="51" t="s">
        <v>214</v>
      </c>
      <c r="D42" s="20" t="s">
        <v>215</v>
      </c>
      <c r="E42" s="21" t="str">
        <f>LEFT(D42,4)</f>
        <v>5.87</v>
      </c>
      <c r="F42" s="21">
        <v>0.69</v>
      </c>
      <c r="G42" s="52" t="str">
        <f>RIGHT(D42,9)</f>
        <v>5.72±0.81</v>
      </c>
      <c r="H42" s="21" t="str">
        <f>LEFT(G42,4)</f>
        <v>5.72</v>
      </c>
      <c r="I42" s="21" t="str">
        <f>RIGHT(G42,4)</f>
        <v>0.81</v>
      </c>
      <c r="J42" s="46" t="s">
        <v>216</v>
      </c>
      <c r="K42" s="21" t="str">
        <f>LEFT(J42,5)</f>
        <v>20.81</v>
      </c>
      <c r="L42" s="21">
        <v>7.48</v>
      </c>
      <c r="M42" t="str">
        <f>RIGHT(J42,10)</f>
        <v>20.04±8.61</v>
      </c>
      <c r="N42" s="21" t="str">
        <f>LEFT(M42,5)</f>
        <v>20.04</v>
      </c>
      <c r="O42" s="21" t="str">
        <f t="shared" si="33"/>
        <v>8.61</v>
      </c>
      <c r="P42" s="46" t="s">
        <v>217</v>
      </c>
      <c r="Q42" s="21" t="str">
        <f>LEFT(P42,5)</f>
        <v>14.31</v>
      </c>
      <c r="R42" s="21">
        <v>6.98</v>
      </c>
      <c r="S42" t="str">
        <f>RIGHT(P42,10)</f>
        <v>15.13±7.59</v>
      </c>
      <c r="T42" s="21" t="str">
        <f>LEFT(S42,5)</f>
        <v>15.13</v>
      </c>
      <c r="U42" s="21" t="str">
        <f t="shared" si="35"/>
        <v>7.59</v>
      </c>
      <c r="V42" s="46" t="s">
        <v>218</v>
      </c>
      <c r="W42" s="21" t="str">
        <f t="shared" si="22"/>
        <v>2.34</v>
      </c>
      <c r="X42" s="21">
        <v>0.95</v>
      </c>
      <c r="Y42" t="str">
        <f>RIGHT(V42,9)</f>
        <v>2.30±0.83</v>
      </c>
      <c r="Z42" s="21" t="str">
        <f t="shared" si="23"/>
        <v>2.30</v>
      </c>
      <c r="AA42" s="21" t="str">
        <f t="shared" si="36"/>
        <v>0.83</v>
      </c>
      <c r="AB42" s="46" t="s">
        <v>219</v>
      </c>
      <c r="AC42" s="21" t="str">
        <f t="shared" si="24"/>
        <v>11.5</v>
      </c>
      <c r="AD42" s="21">
        <v>1.6</v>
      </c>
      <c r="AE42" t="str">
        <f>RIGHT(AB42,10)</f>
        <v>11.36±1.95</v>
      </c>
      <c r="AF42" s="21" t="str">
        <f>LEFT(AE42,5)</f>
        <v>11.36</v>
      </c>
      <c r="AG42" s="21" t="str">
        <f t="shared" si="38"/>
        <v>1.95</v>
      </c>
      <c r="AH42" s="46" t="s">
        <v>220</v>
      </c>
      <c r="AI42" s="21" t="str">
        <f t="shared" si="27"/>
        <v>586.85</v>
      </c>
      <c r="AJ42" s="21">
        <v>646.28</v>
      </c>
      <c r="AK42" t="str">
        <f>RIGHT(AH42,14)</f>
        <v>703.14±1099.77</v>
      </c>
      <c r="AL42" s="21" t="str">
        <f>LEFT(AK42,6)</f>
        <v>703.14</v>
      </c>
      <c r="AM42" s="21" t="str">
        <f>RIGHT(AK42,7)</f>
        <v>1099.77</v>
      </c>
      <c r="AN42" s="46" t="s">
        <v>221</v>
      </c>
      <c r="AO42" s="21" t="str">
        <f t="shared" si="41"/>
        <v>9.09</v>
      </c>
      <c r="AP42" s="21">
        <v>4.12</v>
      </c>
      <c r="AQ42" t="str">
        <f>RIGHT(AN42,9)</f>
        <v>9.36±4.20</v>
      </c>
      <c r="AR42" s="21" t="str">
        <f t="shared" si="26"/>
        <v>9.36</v>
      </c>
      <c r="AS42" s="21" t="str">
        <f t="shared" si="43"/>
        <v>4.20</v>
      </c>
    </row>
    <row r="43" ht="64.5" spans="1:45">
      <c r="C43" s="51" t="s">
        <v>222</v>
      </c>
      <c r="D43" s="20" t="s">
        <v>223</v>
      </c>
      <c r="E43" s="21" t="str">
        <f>LEFT(D43,4)</f>
        <v>6.11</v>
      </c>
      <c r="F43" s="21">
        <v>0.8</v>
      </c>
      <c r="G43" s="52" t="str">
        <f>RIGHT(D43,9)</f>
        <v>5.73±0.78</v>
      </c>
      <c r="H43" s="21" t="str">
        <f>LEFT(G43,4)</f>
        <v>5.73</v>
      </c>
      <c r="I43" s="21" t="str">
        <f>RIGHT(G43,4)</f>
        <v>0.78</v>
      </c>
      <c r="J43" s="46" t="s">
        <v>224</v>
      </c>
      <c r="K43" s="21" t="str">
        <f>LEFT(J43,5)</f>
        <v>18.83</v>
      </c>
      <c r="L43" s="21">
        <v>4.85</v>
      </c>
      <c r="M43" t="str">
        <f>RIGHT(J43,10)</f>
        <v>16.69±5.52</v>
      </c>
      <c r="N43" s="21" t="str">
        <f>LEFT(M43,5)</f>
        <v>16.69</v>
      </c>
      <c r="O43" s="21" t="str">
        <f t="shared" si="33"/>
        <v>5.52</v>
      </c>
      <c r="P43" s="46" t="s">
        <v>225</v>
      </c>
      <c r="Q43" s="21" t="str">
        <f>LEFT(P43,5)</f>
        <v>12.53</v>
      </c>
      <c r="R43" s="21">
        <v>9.42</v>
      </c>
      <c r="S43" t="str">
        <f>RIGHT(P43,10)</f>
        <v>14.08±9.42</v>
      </c>
      <c r="T43" s="21" t="str">
        <f>LEFT(S43,5)</f>
        <v>14.08</v>
      </c>
      <c r="U43" s="21" t="str">
        <f t="shared" si="35"/>
        <v>9.42</v>
      </c>
      <c r="V43" s="46" t="s">
        <v>226</v>
      </c>
      <c r="W43" s="21" t="str">
        <f t="shared" si="22"/>
        <v>2.22</v>
      </c>
      <c r="X43" s="21">
        <v>1.08</v>
      </c>
      <c r="Y43" t="str">
        <f>RIGHT(V43,9)</f>
        <v>2.08±1.01</v>
      </c>
      <c r="Z43" s="21" t="str">
        <f t="shared" si="23"/>
        <v>2.08</v>
      </c>
      <c r="AA43" s="21" t="str">
        <f t="shared" si="36"/>
        <v>1.01</v>
      </c>
      <c r="AB43" s="46" t="s">
        <v>227</v>
      </c>
      <c r="AC43" s="21" t="str">
        <f t="shared" si="24"/>
        <v>12.3</v>
      </c>
      <c r="AD43" s="21">
        <v>1.28</v>
      </c>
      <c r="AE43" t="str">
        <f>RIGHT(AB43,10)</f>
        <v>11.59±1.39</v>
      </c>
      <c r="AF43" s="21" t="str">
        <f>LEFT(AE43,5)</f>
        <v>11.59</v>
      </c>
      <c r="AG43" s="21" t="str">
        <f t="shared" si="38"/>
        <v>1.39</v>
      </c>
      <c r="AH43" s="46" t="s">
        <v>228</v>
      </c>
      <c r="AI43" s="21" t="str">
        <f t="shared" si="27"/>
        <v>790.04</v>
      </c>
      <c r="AJ43" s="21">
        <v>1330.77</v>
      </c>
      <c r="AK43" t="str">
        <f>RIGHT(AH43,14)</f>
        <v>281.97±1222.14</v>
      </c>
      <c r="AL43" s="21" t="str">
        <f>LEFT(AK43,6)</f>
        <v>281.97</v>
      </c>
      <c r="AM43" s="21" t="str">
        <f>RIGHT(AK43,7)</f>
        <v>1222.14</v>
      </c>
      <c r="AN43" s="46" t="s">
        <v>229</v>
      </c>
      <c r="AO43" s="21" t="str">
        <f t="shared" si="41"/>
        <v>6.95</v>
      </c>
      <c r="AP43" s="21">
        <v>3.55</v>
      </c>
      <c r="AQ43" t="str">
        <f>RIGHT(AN43,9)</f>
        <v>9.31±3.91</v>
      </c>
      <c r="AR43" s="21" t="str">
        <f t="shared" si="26"/>
        <v>9.31</v>
      </c>
      <c r="AS43" s="21" t="str">
        <f t="shared" si="43"/>
        <v>3.91</v>
      </c>
    </row>
    <row r="44" customFormat="1" ht="14.25" spans="1:45">
      <c r="D44" s="20" t="s">
        <v>29</v>
      </c>
      <c r="E44" s="21">
        <f>E43-E42</f>
        <v>0.24</v>
      </c>
      <c r="F44" s="21">
        <f t="shared" ref="F44:J44" si="44">SQRT(F42^2+F43^2-2*0.6*F42*F43)</f>
        <v>0.673572564761956</v>
      </c>
      <c r="G44" s="21" t="e">
        <f t="shared" si="44"/>
        <v>#VALUE!</v>
      </c>
      <c r="H44" s="21">
        <f>H43-H42</f>
        <v>0.0100000000000007</v>
      </c>
      <c r="I44" s="21">
        <f t="shared" si="44"/>
        <v>0.711575716280425</v>
      </c>
      <c r="J44" s="21" t="e">
        <f t="shared" si="44"/>
        <v>#VALUE!</v>
      </c>
      <c r="K44" s="21">
        <f>K43-K42</f>
        <v>-1.98</v>
      </c>
      <c r="L44" s="21">
        <f t="shared" ref="L44:P44" si="45">SQRT(L42^2+L43^2-2*0.6*L42*L43)</f>
        <v>5.99493953263918</v>
      </c>
      <c r="M44" s="21" t="e">
        <f t="shared" si="45"/>
        <v>#VALUE!</v>
      </c>
      <c r="N44" s="21">
        <f>N43-N42</f>
        <v>-3.35</v>
      </c>
      <c r="O44" s="21">
        <f t="shared" si="45"/>
        <v>6.89709069100878</v>
      </c>
      <c r="P44" s="21" t="e">
        <f t="shared" si="45"/>
        <v>#VALUE!</v>
      </c>
      <c r="Q44" s="21">
        <f>Q43-Q42</f>
        <v>-1.78</v>
      </c>
      <c r="R44" s="21">
        <f t="shared" ref="R44:V44" si="46">SQRT(R42^2+R43^2-2*0.6*R42*R43)</f>
        <v>7.65211604721204</v>
      </c>
      <c r="S44" s="21" t="e">
        <f t="shared" si="46"/>
        <v>#VALUE!</v>
      </c>
      <c r="T44" s="21">
        <f>T43-T42</f>
        <v>-1.05</v>
      </c>
      <c r="U44" s="21">
        <f t="shared" si="46"/>
        <v>7.7812042769741</v>
      </c>
      <c r="V44" s="21" t="e">
        <f t="shared" si="46"/>
        <v>#VALUE!</v>
      </c>
      <c r="W44" s="21">
        <f>W43-W42</f>
        <v>-0.12</v>
      </c>
      <c r="X44" s="21">
        <f t="shared" ref="X44:AC44" si="47">SQRT(X42^2+X43^2-2*0.6*X42*X43)</f>
        <v>0.915259526036195</v>
      </c>
      <c r="Y44" s="21" t="e">
        <f t="shared" si="47"/>
        <v>#VALUE!</v>
      </c>
      <c r="Z44" s="21">
        <f>Z43-Z42</f>
        <v>-0.22</v>
      </c>
      <c r="AA44" s="21">
        <f t="shared" si="47"/>
        <v>0.838474805823049</v>
      </c>
      <c r="AB44" s="21" t="e">
        <f t="shared" si="47"/>
        <v>#VALUE!</v>
      </c>
      <c r="AC44" s="21">
        <f>AC43-AC42</f>
        <v>0.800000000000001</v>
      </c>
      <c r="AD44" s="21">
        <f>SQRT(AD42^2+AD43^2-2*0.6*AD42*AD43)</f>
        <v>1.31939380019765</v>
      </c>
      <c r="AE44" s="21" t="e">
        <f t="shared" ref="AE44:AH44" si="48">SQRT(AE42^2+AE43^2-2*0.6*AE42*AE43)</f>
        <v>#VALUE!</v>
      </c>
      <c r="AF44" s="21">
        <f>AF43-AF42</f>
        <v>0.23</v>
      </c>
      <c r="AG44" s="21">
        <f t="shared" si="48"/>
        <v>1.57543644746464</v>
      </c>
      <c r="AH44" s="21" t="e">
        <f t="shared" si="48"/>
        <v>#VALUE!</v>
      </c>
      <c r="AI44" s="21">
        <f>AI43-AI42</f>
        <v>203.19</v>
      </c>
      <c r="AJ44" s="21">
        <f>SQRT(AJ42^2+AJ43^2-2*0.6*AJ42*AJ43)</f>
        <v>1075.43785900442</v>
      </c>
      <c r="AK44" s="21" t="e">
        <f t="shared" ref="AJ44:AN44" si="49">SQRT(AK42^2+AK43^2-2*0.6*AK42*AK43)</f>
        <v>#VALUE!</v>
      </c>
      <c r="AL44" s="21">
        <f>AL43-AL42</f>
        <v>-421.17</v>
      </c>
      <c r="AM44" s="21">
        <f t="shared" si="49"/>
        <v>1044.14210869019</v>
      </c>
      <c r="AN44" s="21" t="e">
        <f t="shared" si="49"/>
        <v>#VALUE!</v>
      </c>
      <c r="AO44" s="21">
        <f>AO43-AO42</f>
        <v>-2.14</v>
      </c>
      <c r="AP44" s="21">
        <f t="shared" ref="AP44:AS44" si="50">SQRT(AP42^2+AP43^2-2*0.6*AP42*AP43)</f>
        <v>3.46780910662626</v>
      </c>
      <c r="AQ44" s="21" t="e">
        <f t="shared" si="50"/>
        <v>#VALUE!</v>
      </c>
      <c r="AR44" s="21">
        <f>AR43-AR42</f>
        <v>-0.0499999999999989</v>
      </c>
      <c r="AS44" s="21">
        <f t="shared" si="50"/>
        <v>3.63616556278726</v>
      </c>
    </row>
    <row r="45" spans="1:45">
      <c r="E45" s="50" t="str">
        <f>RIGHT(D45,9)</f>
        <v/>
      </c>
    </row>
    <row r="46" ht="14.25" spans="1:45">
      <c r="E46" s="50" t="str">
        <f>RIGHT(D46,9)</f>
        <v/>
      </c>
    </row>
    <row r="47" ht="14.65" spans="1:45">
      <c r="A47" t="s">
        <v>230</v>
      </c>
      <c r="B47" s="18" t="s">
        <v>231</v>
      </c>
      <c r="C47" s="23"/>
      <c r="D47" s="46" t="s">
        <v>49</v>
      </c>
      <c r="E47" s="46"/>
      <c r="F47" s="46"/>
      <c r="G47" s="46" t="s">
        <v>49</v>
      </c>
      <c r="H47" s="46"/>
      <c r="I47" s="46"/>
      <c r="J47" s="53" t="s">
        <v>232</v>
      </c>
      <c r="K47" s="53"/>
      <c r="L47" s="53"/>
      <c r="M47" s="53" t="s">
        <v>232</v>
      </c>
      <c r="N47" s="53"/>
      <c r="O47" s="53"/>
      <c r="P47" s="53" t="s">
        <v>233</v>
      </c>
      <c r="Q47" s="53"/>
      <c r="R47" s="53"/>
      <c r="S47" s="53" t="s">
        <v>233</v>
      </c>
    </row>
    <row r="48" ht="14.6" spans="1:45">
      <c r="B48" s="39" t="s">
        <v>234</v>
      </c>
      <c r="C48" s="39"/>
      <c r="D48" s="21" t="s">
        <v>102</v>
      </c>
      <c r="E48" s="46"/>
      <c r="F48" s="46"/>
      <c r="G48" s="46" t="s">
        <v>235</v>
      </c>
      <c r="H48" s="46"/>
      <c r="I48" s="46"/>
      <c r="J48" s="46" t="s">
        <v>102</v>
      </c>
      <c r="K48" s="46"/>
      <c r="L48" s="46"/>
      <c r="M48" s="46" t="s">
        <v>235</v>
      </c>
      <c r="N48" s="46"/>
      <c r="O48" s="46"/>
      <c r="P48" s="46" t="s">
        <v>102</v>
      </c>
      <c r="Q48" s="46"/>
      <c r="R48" s="46"/>
      <c r="S48" s="46" t="s">
        <v>235</v>
      </c>
    </row>
    <row r="49" ht="14.6" spans="1:45">
      <c r="B49" s="39"/>
      <c r="C49" s="33" t="s">
        <v>175</v>
      </c>
      <c r="D49" s="46" t="s">
        <v>236</v>
      </c>
      <c r="E49" s="21" t="str">
        <f>LEFT(D49,5)</f>
        <v>22.03</v>
      </c>
      <c r="F49" s="21" t="str">
        <f>RIGHT(D49,4)</f>
        <v>4.24</v>
      </c>
      <c r="G49" s="46" t="s">
        <v>237</v>
      </c>
      <c r="H49" s="21" t="str">
        <f>LEFT(G49,5)</f>
        <v>22.66</v>
      </c>
      <c r="I49" s="21" t="str">
        <f>RIGHT(G49,4)</f>
        <v>4.01</v>
      </c>
      <c r="J49" s="46" t="s">
        <v>238</v>
      </c>
      <c r="K49" s="21" t="str">
        <f>LEFT(J49,5)</f>
        <v>5.33 </v>
      </c>
      <c r="L49" s="21" t="str">
        <f>RIGHT(J49,4)</f>
        <v>1.05</v>
      </c>
      <c r="M49" s="46" t="s">
        <v>239</v>
      </c>
      <c r="N49" s="21" t="str">
        <f>LEFT(M49,5)</f>
        <v>5.39 </v>
      </c>
      <c r="O49" s="21" t="str">
        <f>RIGHT(M49,4)</f>
        <v>1.13</v>
      </c>
      <c r="P49" s="46" t="s">
        <v>240</v>
      </c>
      <c r="Q49" s="21" t="str">
        <f t="shared" ref="Q49:Q52" si="51">LEFT(P49,5)</f>
        <v>0.70 </v>
      </c>
      <c r="R49" s="21" t="str">
        <f t="shared" ref="R49:R54" si="52">RIGHT(P49,4)</f>
        <v>0.04</v>
      </c>
      <c r="S49" s="46" t="s">
        <v>241</v>
      </c>
      <c r="T49" s="21" t="str">
        <f t="shared" ref="T49:T52" si="53">LEFT(S49,5)</f>
        <v>0.71 </v>
      </c>
      <c r="U49" s="21" t="str">
        <f t="shared" ref="U49:U54" si="54">RIGHT(S49,4)</f>
        <v>0.04</v>
      </c>
    </row>
    <row r="50" ht="14.6" spans="1:45">
      <c r="B50" s="39"/>
      <c r="C50" s="33" t="s">
        <v>190</v>
      </c>
      <c r="D50" s="46" t="s">
        <v>242</v>
      </c>
      <c r="E50" s="21" t="str">
        <f>LEFT(D50,5)</f>
        <v>22.52</v>
      </c>
      <c r="F50" s="21" t="str">
        <f>RIGHT(D50,4)</f>
        <v>4.22</v>
      </c>
      <c r="G50" s="46" t="s">
        <v>243</v>
      </c>
      <c r="H50" s="21" t="str">
        <f>LEFT(G50,5)</f>
        <v>23.14</v>
      </c>
      <c r="I50" s="21" t="str">
        <f>RIGHT(G50,4)</f>
        <v>4.96</v>
      </c>
      <c r="J50" s="46" t="s">
        <v>244</v>
      </c>
      <c r="K50" s="21" t="str">
        <f>LEFT(J50,5)</f>
        <v>5.36 </v>
      </c>
      <c r="L50" s="21" t="str">
        <f>RIGHT(J50,4)</f>
        <v>1.04</v>
      </c>
      <c r="M50" s="46" t="s">
        <v>245</v>
      </c>
      <c r="N50" s="21" t="str">
        <f>LEFT(M50,5)</f>
        <v>5.42 </v>
      </c>
      <c r="O50" s="21" t="str">
        <f>RIGHT(M50,4)</f>
        <v>1.16</v>
      </c>
      <c r="P50" s="46" t="s">
        <v>246</v>
      </c>
      <c r="Q50" s="21" t="str">
        <f t="shared" si="51"/>
        <v>1.09 </v>
      </c>
      <c r="R50" s="21" t="str">
        <f t="shared" si="52"/>
        <v>0.06</v>
      </c>
      <c r="S50" s="46" t="s">
        <v>247</v>
      </c>
      <c r="T50" s="21" t="str">
        <f t="shared" si="53"/>
        <v>1.12 </v>
      </c>
      <c r="U50" s="21" t="str">
        <f t="shared" si="54"/>
        <v>0.06</v>
      </c>
    </row>
    <row r="51" customFormat="1" ht="14.25" spans="1:45">
      <c r="D51" s="20" t="s">
        <v>29</v>
      </c>
      <c r="E51" s="21">
        <f>E50-E49</f>
        <v>0.489999999999998</v>
      </c>
      <c r="F51" s="21">
        <f t="shared" ref="F51:J51" si="55">SQRT(F49^2+F50^2-2*0.6*F49*F50)</f>
        <v>3.783469307395</v>
      </c>
      <c r="G51" s="21" t="e">
        <f t="shared" si="55"/>
        <v>#VALUE!</v>
      </c>
      <c r="H51" s="21">
        <f>H50-H49</f>
        <v>0.48</v>
      </c>
      <c r="I51" s="21">
        <f t="shared" si="55"/>
        <v>4.10050972441232</v>
      </c>
      <c r="J51" s="21" t="e">
        <f t="shared" si="55"/>
        <v>#VALUE!</v>
      </c>
      <c r="K51" s="21">
        <f>K50-K49</f>
        <v>0.0300000000000002</v>
      </c>
      <c r="L51" s="21">
        <f t="shared" ref="L51:P51" si="56">SQRT(L49^2+L50^2-2*0.6*L49*L50)</f>
        <v>0.934719209174605</v>
      </c>
      <c r="M51" s="21" t="e">
        <f t="shared" si="56"/>
        <v>#VALUE!</v>
      </c>
      <c r="N51" s="21">
        <f>N50-N49</f>
        <v>0.0300000000000002</v>
      </c>
      <c r="O51" s="21">
        <f t="shared" si="56"/>
        <v>1.02447059499041</v>
      </c>
      <c r="P51" s="21" t="e">
        <f t="shared" si="56"/>
        <v>#VALUE!</v>
      </c>
      <c r="Q51" s="21">
        <f>Q50-Q49</f>
        <v>0.39</v>
      </c>
      <c r="R51" s="21">
        <f t="shared" ref="R51:V51" si="57">SQRT(R49^2+R50^2-2*0.6*R49*R50)</f>
        <v>0.0481663783151692</v>
      </c>
      <c r="S51" s="21" t="e">
        <f t="shared" si="57"/>
        <v>#VALUE!</v>
      </c>
      <c r="T51" s="21">
        <f>T50-T49</f>
        <v>0.41</v>
      </c>
      <c r="U51" s="21">
        <f t="shared" si="57"/>
        <v>0.0481663783151692</v>
      </c>
      <c r="V51" s="21">
        <f t="shared" si="57"/>
        <v>0</v>
      </c>
      <c r="W51" s="21">
        <f>W50-W49</f>
        <v>0</v>
      </c>
      <c r="X51" s="21">
        <f t="shared" ref="X51:AC51" si="58">SQRT(X49^2+X50^2-2*0.6*X49*X50)</f>
        <v>0</v>
      </c>
      <c r="Y51" s="21">
        <f t="shared" si="58"/>
        <v>0</v>
      </c>
      <c r="Z51" s="21">
        <f>Z50-Z49</f>
        <v>0</v>
      </c>
      <c r="AA51" s="21">
        <f t="shared" si="58"/>
        <v>0</v>
      </c>
      <c r="AB51" s="21">
        <f t="shared" si="58"/>
        <v>0</v>
      </c>
      <c r="AC51" s="21">
        <f t="shared" si="58"/>
        <v>0</v>
      </c>
      <c r="AD51" s="21">
        <f t="shared" ref="AD51:AI51" si="59">AD50-AD49</f>
        <v>0</v>
      </c>
      <c r="AE51" s="21">
        <f t="shared" ref="AE51:AH51" si="60">SQRT(AE49^2+AE50^2-2*0.6*AE49*AE50)</f>
        <v>0</v>
      </c>
      <c r="AF51" s="21">
        <f t="shared" si="59"/>
        <v>0</v>
      </c>
      <c r="AG51" s="21">
        <f t="shared" si="60"/>
        <v>0</v>
      </c>
      <c r="AH51" s="21">
        <f t="shared" si="60"/>
        <v>0</v>
      </c>
      <c r="AI51" s="21">
        <f t="shared" si="59"/>
        <v>0</v>
      </c>
      <c r="AJ51" s="21">
        <f t="shared" ref="AJ51:AN51" si="61">SQRT(AJ49^2+AJ50^2-2*0.6*AJ49*AJ50)</f>
        <v>0</v>
      </c>
      <c r="AK51" s="21">
        <f t="shared" si="61"/>
        <v>0</v>
      </c>
      <c r="AL51" s="21">
        <f>AL50-AL49</f>
        <v>0</v>
      </c>
      <c r="AM51" s="21">
        <f t="shared" si="61"/>
        <v>0</v>
      </c>
      <c r="AN51" s="21">
        <f t="shared" si="61"/>
        <v>0</v>
      </c>
      <c r="AO51" s="21">
        <f>AO50-AO49</f>
        <v>0</v>
      </c>
      <c r="AP51" s="21">
        <f t="shared" ref="AP51:AS51" si="62">SQRT(AP49^2+AP50^2-2*0.6*AP49*AP50)</f>
        <v>0</v>
      </c>
      <c r="AQ51" s="21">
        <f t="shared" si="62"/>
        <v>0</v>
      </c>
      <c r="AR51" s="21">
        <f>AR50-AR49</f>
        <v>0</v>
      </c>
      <c r="AS51" s="21">
        <f t="shared" si="62"/>
        <v>0</v>
      </c>
    </row>
    <row r="52" ht="26.25" spans="1:45">
      <c r="B52" s="18" t="s">
        <v>248</v>
      </c>
      <c r="D52" s="53" t="s">
        <v>249</v>
      </c>
      <c r="E52" s="21" t="str">
        <f>LEFT(D52,5)</f>
        <v>肌肉力量</v>
      </c>
      <c r="F52" s="21" t="str">
        <f>RIGHT(D52,4)</f>
        <v>肌肉力量</v>
      </c>
      <c r="G52" s="53"/>
      <c r="H52" s="21" t="str">
        <f>LEFT(G52,5)</f>
        <v/>
      </c>
      <c r="I52" s="21" t="str">
        <f>RIGHT(G52,4)</f>
        <v/>
      </c>
      <c r="J52" s="54" t="s">
        <v>250</v>
      </c>
      <c r="K52" s="21" t="str">
        <f>LEFT(J52,5)</f>
        <v>肌肉质量</v>
      </c>
      <c r="L52" s="21" t="str">
        <f>RIGHT(J52,4)</f>
        <v>肌肉质量</v>
      </c>
      <c r="M52" s="54" t="s">
        <v>102</v>
      </c>
      <c r="N52" s="21" t="str">
        <f>LEFT(M52,5)</f>
        <v>对照组</v>
      </c>
      <c r="O52" s="21" t="str">
        <f>RIGHT(M52,4)</f>
        <v>对照组</v>
      </c>
      <c r="P52" s="53" t="s">
        <v>251</v>
      </c>
      <c r="Q52" s="21" t="str">
        <f t="shared" si="51"/>
        <v>步速</v>
      </c>
      <c r="R52" s="21" t="str">
        <f t="shared" si="52"/>
        <v>步速</v>
      </c>
      <c r="S52" s="46"/>
      <c r="T52" s="21" t="str">
        <f t="shared" si="53"/>
        <v/>
      </c>
      <c r="U52" s="21" t="str">
        <f t="shared" si="54"/>
        <v/>
      </c>
    </row>
    <row r="53" ht="14.25" spans="1:45">
      <c r="B53" t="s">
        <v>252</v>
      </c>
      <c r="C53" s="46" t="s">
        <v>253</v>
      </c>
      <c r="D53" s="55" t="s">
        <v>254</v>
      </c>
      <c r="E53" s="21" t="str">
        <f>LEFT(D53,5)</f>
        <v>21.74</v>
      </c>
      <c r="F53" s="21" t="str">
        <f>RIGHT(D53,4)</f>
        <v>1.38</v>
      </c>
      <c r="G53" s="55" t="s">
        <v>255</v>
      </c>
      <c r="H53" s="21" t="str">
        <f>LEFT(G53,5)</f>
        <v>22.15</v>
      </c>
      <c r="I53" s="21" t="str">
        <f>RIGHT(G53,4)</f>
        <v>0.96</v>
      </c>
      <c r="J53" s="55" t="s">
        <v>256</v>
      </c>
      <c r="K53" s="21" t="str">
        <f>LEFT(J53,4)</f>
        <v>5.42</v>
      </c>
      <c r="L53" s="21" t="str">
        <f>RIGHT(J53,4)</f>
        <v>0.23</v>
      </c>
      <c r="M53" s="56" t="s">
        <v>257</v>
      </c>
      <c r="N53" s="21" t="str">
        <f>LEFT(M53,4)</f>
        <v>5.35</v>
      </c>
      <c r="O53" s="21" t="str">
        <f>RIGHT(M53,4)</f>
        <v>0.17</v>
      </c>
      <c r="P53" s="46" t="s">
        <v>258</v>
      </c>
      <c r="Q53" s="21" t="str">
        <f>LEFT(P53,4)</f>
        <v>0.61</v>
      </c>
      <c r="R53" s="21" t="str">
        <f t="shared" si="52"/>
        <v>0.01</v>
      </c>
      <c r="S53" s="46" t="s">
        <v>259</v>
      </c>
      <c r="T53" s="21" t="str">
        <f>LEFT(S53,4)</f>
        <v>0.59</v>
      </c>
      <c r="U53" s="21" t="str">
        <f t="shared" si="54"/>
        <v>0.05</v>
      </c>
    </row>
    <row r="54" ht="14.6" spans="1:45">
      <c r="C54" s="46" t="s">
        <v>190</v>
      </c>
      <c r="D54" s="56" t="s">
        <v>260</v>
      </c>
      <c r="E54" s="21" t="str">
        <f>LEFT(D54,5)</f>
        <v>31.58</v>
      </c>
      <c r="F54" s="21" t="str">
        <f>RIGHT(D54,4)</f>
        <v>3.12</v>
      </c>
      <c r="G54" s="56" t="s">
        <v>261</v>
      </c>
      <c r="H54" s="21" t="str">
        <f>LEFT(G54,5)</f>
        <v>26.74</v>
      </c>
      <c r="I54" s="21" t="str">
        <f>RIGHT(G54,4)</f>
        <v>2.38</v>
      </c>
      <c r="J54" s="56" t="s">
        <v>262</v>
      </c>
      <c r="K54" s="21" t="str">
        <f>LEFT(J54,4)</f>
        <v>8.23</v>
      </c>
      <c r="L54" s="21" t="str">
        <f>RIGHT(J54,4)</f>
        <v>0.16</v>
      </c>
      <c r="M54" s="39" t="s">
        <v>263</v>
      </c>
      <c r="N54" s="21" t="str">
        <f>LEFT(M54,4)</f>
        <v>6.85</v>
      </c>
      <c r="O54" s="21" t="str">
        <f>RIGHT(M54,4)</f>
        <v>0.23</v>
      </c>
      <c r="P54" s="46" t="s">
        <v>264</v>
      </c>
      <c r="Q54" s="21" t="str">
        <f>LEFT(P54,4)</f>
        <v>1.42</v>
      </c>
      <c r="R54" s="21" t="str">
        <f t="shared" si="52"/>
        <v>0.03</v>
      </c>
      <c r="S54" s="46" t="s">
        <v>265</v>
      </c>
      <c r="T54" s="21" t="str">
        <f>LEFT(S54,4)</f>
        <v>1.11</v>
      </c>
      <c r="U54" s="21" t="str">
        <f t="shared" si="54"/>
        <v>0.02</v>
      </c>
    </row>
    <row r="55" customFormat="1" ht="14.25" spans="1:45">
      <c r="D55" s="20" t="s">
        <v>29</v>
      </c>
      <c r="E55" s="21">
        <f>E54-E53</f>
        <v>9.84</v>
      </c>
      <c r="F55" s="21">
        <f t="shared" ref="F55:J55" si="63">SQRT(F53^2+F54^2-2*0.6*F53*F54)</f>
        <v>2.54402830172937</v>
      </c>
      <c r="G55" s="21" t="e">
        <f t="shared" si="63"/>
        <v>#VALUE!</v>
      </c>
      <c r="H55" s="21">
        <f>H54-H53</f>
        <v>4.59</v>
      </c>
      <c r="I55" s="21">
        <f t="shared" si="63"/>
        <v>1.96067335372315</v>
      </c>
      <c r="J55" s="21" t="e">
        <f t="shared" si="63"/>
        <v>#VALUE!</v>
      </c>
      <c r="K55" s="21">
        <f>K54-K53</f>
        <v>2.81</v>
      </c>
      <c r="L55" s="21">
        <f t="shared" ref="L55:P55" si="64">SQRT(L53^2+L54^2-2*0.6*L53*L54)</f>
        <v>0.185310550158376</v>
      </c>
      <c r="M55" s="21" t="e">
        <f t="shared" si="64"/>
        <v>#VALUE!</v>
      </c>
      <c r="N55" s="21">
        <f>N54-N53</f>
        <v>1.5</v>
      </c>
      <c r="O55" s="21">
        <f t="shared" si="64"/>
        <v>0.18676188047886</v>
      </c>
      <c r="P55" s="21" t="e">
        <f t="shared" si="64"/>
        <v>#VALUE!</v>
      </c>
      <c r="Q55" s="21">
        <f>Q54-Q53</f>
        <v>0.81</v>
      </c>
      <c r="R55" s="21">
        <f t="shared" ref="R55:V55" si="65">SQRT(R53^2+R54^2-2*0.6*R53*R54)</f>
        <v>0.025298221281347</v>
      </c>
      <c r="S55" s="21" t="e">
        <f t="shared" si="65"/>
        <v>#VALUE!</v>
      </c>
      <c r="T55" s="21">
        <f>T54-T53</f>
        <v>0.52</v>
      </c>
      <c r="U55" s="21">
        <f t="shared" si="65"/>
        <v>0.0412310562561766</v>
      </c>
      <c r="V55" s="21">
        <f t="shared" si="65"/>
        <v>0</v>
      </c>
      <c r="W55" s="21">
        <f>W54-W53</f>
        <v>0</v>
      </c>
      <c r="X55" s="21">
        <f t="shared" ref="X55:AC55" si="66">SQRT(X53^2+X54^2-2*0.6*X53*X54)</f>
        <v>0</v>
      </c>
      <c r="Y55" s="21">
        <f t="shared" si="66"/>
        <v>0</v>
      </c>
      <c r="Z55" s="21">
        <f>Z54-Z53</f>
        <v>0</v>
      </c>
      <c r="AA55" s="21">
        <f t="shared" si="66"/>
        <v>0</v>
      </c>
      <c r="AB55" s="21">
        <f t="shared" si="66"/>
        <v>0</v>
      </c>
      <c r="AC55" s="21">
        <f t="shared" si="66"/>
        <v>0</v>
      </c>
      <c r="AD55" s="21">
        <f t="shared" ref="AD55:AI55" si="67">AD54-AD53</f>
        <v>0</v>
      </c>
      <c r="AE55" s="21">
        <f t="shared" ref="AE55:AH55" si="68">SQRT(AE53^2+AE54^2-2*0.6*AE53*AE54)</f>
        <v>0</v>
      </c>
      <c r="AF55" s="21">
        <f t="shared" si="67"/>
        <v>0</v>
      </c>
      <c r="AG55" s="21">
        <f t="shared" si="68"/>
        <v>0</v>
      </c>
      <c r="AH55" s="21">
        <f t="shared" si="68"/>
        <v>0</v>
      </c>
      <c r="AI55" s="21">
        <f t="shared" si="67"/>
        <v>0</v>
      </c>
      <c r="AJ55" s="21">
        <f t="shared" ref="AJ55:AN55" si="69">SQRT(AJ53^2+AJ54^2-2*0.6*AJ53*AJ54)</f>
        <v>0</v>
      </c>
      <c r="AK55" s="21">
        <f t="shared" si="69"/>
        <v>0</v>
      </c>
      <c r="AL55" s="21">
        <f>AL54-AL53</f>
        <v>0</v>
      </c>
      <c r="AM55" s="21">
        <f t="shared" si="69"/>
        <v>0</v>
      </c>
      <c r="AN55" s="21">
        <f t="shared" si="69"/>
        <v>0</v>
      </c>
      <c r="AO55" s="21">
        <f>AO54-AO53</f>
        <v>0</v>
      </c>
      <c r="AP55" s="21">
        <f t="shared" ref="AP55:AS55" si="70">SQRT(AP53^2+AP54^2-2*0.6*AP53*AP54)</f>
        <v>0</v>
      </c>
      <c r="AQ55" s="21">
        <f t="shared" si="70"/>
        <v>0</v>
      </c>
      <c r="AR55" s="21">
        <f>AR54-AR53</f>
        <v>0</v>
      </c>
      <c r="AS55" s="21">
        <f t="shared" si="70"/>
        <v>0</v>
      </c>
    </row>
    <row r="57" spans="1:45">
      <c r="A57" t="s">
        <v>266</v>
      </c>
    </row>
    <row r="63" ht="26.25" spans="1:45">
      <c r="A63" t="s">
        <v>267</v>
      </c>
      <c r="B63" s="57" t="s">
        <v>268</v>
      </c>
      <c r="C63" s="16" t="s">
        <v>46</v>
      </c>
      <c r="D63" s="16" t="s">
        <v>269</v>
      </c>
      <c r="E63" s="16"/>
      <c r="F63" s="16"/>
      <c r="G63" s="16"/>
      <c r="H63" s="16"/>
      <c r="I63" s="16"/>
      <c r="J63" s="16" t="s">
        <v>270</v>
      </c>
      <c r="K63" s="16"/>
      <c r="L63" s="16"/>
      <c r="M63" s="16"/>
      <c r="N63" s="16"/>
      <c r="O63" s="16"/>
      <c r="P63" s="16" t="s">
        <v>271</v>
      </c>
      <c r="Q63" s="16"/>
      <c r="R63" s="16"/>
    </row>
    <row r="64" ht="25.5" spans="1:45">
      <c r="B64" t="s">
        <v>272</v>
      </c>
      <c r="C64" s="16" t="s">
        <v>273</v>
      </c>
      <c r="D64" s="16" t="s">
        <v>274</v>
      </c>
      <c r="E64" s="21" t="str">
        <f t="shared" ref="E64:E70" si="71">LEFT(D64,5)</f>
        <v>17.65</v>
      </c>
      <c r="F64" s="21">
        <f>RIGHT(D64,4)/1.35</f>
        <v>3.44444444444444</v>
      </c>
      <c r="G64" s="16" t="s">
        <v>275</v>
      </c>
      <c r="H64" s="21" t="str">
        <f t="shared" ref="H64:H70" si="72">LEFT(G64,5)</f>
        <v>16.90</v>
      </c>
      <c r="I64" s="21">
        <f>RIGHT(G64,4)/1.35</f>
        <v>3.2962962962963</v>
      </c>
      <c r="J64" s="16" t="s">
        <v>276</v>
      </c>
      <c r="K64" s="21" t="str">
        <f t="shared" ref="K64:K70" si="73">LEFT(J64,5)</f>
        <v>5.20 </v>
      </c>
      <c r="L64" s="21">
        <f t="shared" ref="L64:L70" si="74">RIGHT(J64,4)/1.35</f>
        <v>0.274074074074074</v>
      </c>
      <c r="M64" s="16" t="s">
        <v>277</v>
      </c>
      <c r="N64" s="21" t="str">
        <f t="shared" ref="N64:N70" si="75">LEFT(M64,5)</f>
        <v>5.10 </v>
      </c>
      <c r="O64" s="21">
        <f t="shared" ref="O64:O70" si="76">RIGHT(M64,4)/1.35</f>
        <v>0.274074074074074</v>
      </c>
      <c r="P64" s="16" t="s">
        <v>278</v>
      </c>
      <c r="Q64" s="21" t="str">
        <f>LEFT(P64,5)</f>
        <v>0.58 </v>
      </c>
      <c r="R64" s="21">
        <f>RIGHT(P64,4)/1.35</f>
        <v>0.0740740740740741</v>
      </c>
      <c r="S64" s="16" t="s">
        <v>279</v>
      </c>
      <c r="T64" s="21" t="str">
        <f>LEFT(S64,5)</f>
        <v>0.56 </v>
      </c>
      <c r="U64" s="21">
        <f>RIGHT(S64,4)/1.35</f>
        <v>0.0666666666666667</v>
      </c>
    </row>
    <row r="65" ht="25.5" spans="1:22">
      <c r="C65" s="16" t="s">
        <v>280</v>
      </c>
      <c r="D65" s="16" t="s">
        <v>281</v>
      </c>
      <c r="E65" s="21" t="str">
        <f t="shared" si="71"/>
        <v>20.00</v>
      </c>
      <c r="F65" s="21">
        <f>RIGHT(D65,4)/1.35</f>
        <v>4.07407407407407</v>
      </c>
      <c r="G65" s="16" t="s">
        <v>282</v>
      </c>
      <c r="H65" s="21" t="str">
        <f t="shared" si="72"/>
        <v>18.20</v>
      </c>
      <c r="I65" s="21">
        <f>RIGHT(G65,4)/1.35</f>
        <v>3.38518518518519</v>
      </c>
      <c r="J65" s="16" t="s">
        <v>283</v>
      </c>
      <c r="K65" s="21" t="str">
        <f t="shared" si="73"/>
        <v>5.80 </v>
      </c>
      <c r="L65" s="21">
        <f t="shared" si="74"/>
        <v>0.555555555555555</v>
      </c>
      <c r="M65" s="16" t="s">
        <v>284</v>
      </c>
      <c r="N65" s="21" t="str">
        <f t="shared" si="75"/>
        <v>5.30 </v>
      </c>
      <c r="O65" s="21">
        <f t="shared" si="76"/>
        <v>0.222222222222222</v>
      </c>
      <c r="P65" s="16" t="s">
        <v>285</v>
      </c>
      <c r="Q65" s="21" t="str">
        <f>LEFT(P65,5)</f>
        <v>0.60 </v>
      </c>
      <c r="R65" s="21">
        <f>RIGHT(P65,4)/1.35</f>
        <v>0.0666666666666667</v>
      </c>
      <c r="S65" s="16" t="s">
        <v>286</v>
      </c>
      <c r="T65" s="21" t="str">
        <f>LEFT(S65,5)</f>
        <v>0.58 </v>
      </c>
      <c r="U65" s="21">
        <f>RIGHT(S65,4)/1.35</f>
        <v>0.0518518518518519</v>
      </c>
    </row>
    <row r="66" ht="14.25" spans="1:22">
      <c r="C66" s="16"/>
      <c r="D66" s="16"/>
      <c r="E66" s="21">
        <f>E65-E64</f>
        <v>2.35</v>
      </c>
      <c r="F66" s="21">
        <f>SQRT(F64^2+F65^2-2*0.6*F64*F65)</f>
        <v>3.4092185202869</v>
      </c>
      <c r="G66" s="16"/>
      <c r="H66" s="21">
        <f>H65-H64</f>
        <v>1.3</v>
      </c>
      <c r="I66" s="21">
        <f>SQRT(I64^2+I65^2-2*0.6*I64*I65)</f>
        <v>2.98910688084757</v>
      </c>
      <c r="J66" s="16"/>
      <c r="K66" s="21">
        <f>K65-K64</f>
        <v>0.6</v>
      </c>
      <c r="L66" s="21">
        <f>SQRT(L64^2+L65^2-2*0.6*L64*L65)</f>
        <v>0.448377657790268</v>
      </c>
      <c r="M66" s="16"/>
      <c r="N66" s="21">
        <f>N65-N64</f>
        <v>0.2</v>
      </c>
      <c r="O66" s="21">
        <f>SQRT(O64^2+O65^2-2*0.6*O64*O65)</f>
        <v>0.226744116518725</v>
      </c>
      <c r="P66" s="16"/>
      <c r="Q66" s="21">
        <f>Q65-Q64</f>
        <v>0.02</v>
      </c>
      <c r="R66" s="21">
        <f>SQRT(R64^2+R65^2-2*0.6*R64*R65)</f>
        <v>0.0632889166319817</v>
      </c>
      <c r="T66" s="21">
        <f>T65-T64</f>
        <v>0.0199999999999999</v>
      </c>
      <c r="U66" s="21">
        <f>SQRT(U64^2+U65^2-2*0.6*U64*U65)</f>
        <v>0.0546343375246986</v>
      </c>
    </row>
    <row r="67" ht="14.25" spans="1:22">
      <c r="C67" s="16"/>
      <c r="D67" s="16"/>
      <c r="E67" s="16"/>
      <c r="F67" s="16"/>
      <c r="G67" s="16"/>
      <c r="H67" s="16"/>
      <c r="I67" s="16"/>
      <c r="J67" s="16"/>
      <c r="K67" s="16"/>
      <c r="L67" s="16"/>
      <c r="M67" s="16"/>
      <c r="N67" s="16"/>
      <c r="O67" s="16"/>
      <c r="P67" s="16"/>
      <c r="Q67" s="16"/>
      <c r="R67" s="16"/>
      <c r="T67" s="16"/>
      <c r="U67" s="16"/>
    </row>
    <row r="68" ht="26.25" spans="1:22">
      <c r="B68" s="29" t="s">
        <v>287</v>
      </c>
      <c r="C68" s="16" t="s">
        <v>46</v>
      </c>
      <c r="D68" s="16" t="s">
        <v>288</v>
      </c>
      <c r="E68" s="16"/>
      <c r="F68" s="16"/>
      <c r="G68" s="16"/>
      <c r="H68" s="16"/>
      <c r="I68" s="16"/>
      <c r="J68" s="16" t="s">
        <v>270</v>
      </c>
      <c r="K68" s="16"/>
      <c r="L68" s="16"/>
      <c r="M68" s="16"/>
      <c r="N68" s="16"/>
      <c r="O68" s="16"/>
      <c r="P68" s="16" t="s">
        <v>289</v>
      </c>
      <c r="Q68" s="16"/>
      <c r="S68" s="16"/>
    </row>
    <row r="69" ht="39" spans="1:22">
      <c r="B69" t="s">
        <v>290</v>
      </c>
      <c r="C69" s="16" t="s">
        <v>291</v>
      </c>
      <c r="D69" s="16" t="s">
        <v>292</v>
      </c>
      <c r="E69" s="21" t="str">
        <f t="shared" si="71"/>
        <v>22.83</v>
      </c>
      <c r="F69" s="21" t="str">
        <f t="shared" ref="F69:F75" si="77">RIGHT(D69,4)</f>
        <v>4.83</v>
      </c>
      <c r="G69" s="26" t="s">
        <v>293</v>
      </c>
      <c r="H69" s="21" t="str">
        <f t="shared" si="72"/>
        <v>23.04</v>
      </c>
      <c r="I69" s="21" t="str">
        <f t="shared" ref="I69:I75" si="78">RIGHT(G69,4)</f>
        <v>5.30</v>
      </c>
      <c r="J69" s="26" t="s">
        <v>294</v>
      </c>
      <c r="K69" s="21" t="str">
        <f t="shared" si="73"/>
        <v>6.07 </v>
      </c>
      <c r="L69" s="21">
        <f t="shared" si="74"/>
        <v>0.503703703703704</v>
      </c>
      <c r="M69" s="26" t="s">
        <v>295</v>
      </c>
      <c r="N69" s="21" t="str">
        <f t="shared" si="75"/>
        <v>6.03 </v>
      </c>
      <c r="O69" s="21">
        <f t="shared" si="76"/>
        <v>0.555555555555555</v>
      </c>
      <c r="P69" s="16" t="s">
        <v>296</v>
      </c>
      <c r="Q69" s="21" t="str">
        <f t="shared" ref="Q69:Q75" si="79">LEFT(P69,5)</f>
        <v>1.00 </v>
      </c>
      <c r="R69" s="21" t="str">
        <f t="shared" ref="R69:R75" si="80">RIGHT(P69,4)</f>
        <v>0.15</v>
      </c>
      <c r="S69" s="16" t="s">
        <v>297</v>
      </c>
      <c r="T69" s="21" t="str">
        <f t="shared" ref="T69:T75" si="81">LEFT(S69,5)</f>
        <v>1.01 </v>
      </c>
      <c r="U69" s="21" t="str">
        <f t="shared" ref="U69:U75" si="82">RIGHT(S69,4)</f>
        <v>0.13</v>
      </c>
    </row>
    <row r="70" ht="39" spans="1:22">
      <c r="C70" s="16" t="s">
        <v>298</v>
      </c>
      <c r="D70" s="16" t="s">
        <v>299</v>
      </c>
      <c r="E70" s="21" t="str">
        <f t="shared" si="71"/>
        <v>25.05</v>
      </c>
      <c r="F70" s="21" t="str">
        <f t="shared" si="77"/>
        <v>5.73</v>
      </c>
      <c r="G70" s="26" t="s">
        <v>300</v>
      </c>
      <c r="H70" s="21" t="str">
        <f t="shared" si="72"/>
        <v>23.18</v>
      </c>
      <c r="I70" s="21" t="str">
        <f t="shared" si="78"/>
        <v>4.98</v>
      </c>
      <c r="J70" s="26" t="s">
        <v>301</v>
      </c>
      <c r="K70" s="21" t="str">
        <f t="shared" si="73"/>
        <v>6.44 </v>
      </c>
      <c r="L70" s="21">
        <f t="shared" si="74"/>
        <v>0.548148148148148</v>
      </c>
      <c r="M70" s="26" t="s">
        <v>302</v>
      </c>
      <c r="N70" s="21" t="str">
        <f t="shared" si="75"/>
        <v>6.33 </v>
      </c>
      <c r="O70" s="21">
        <f t="shared" si="76"/>
        <v>0.511111111111111</v>
      </c>
      <c r="P70" s="16" t="s">
        <v>303</v>
      </c>
      <c r="Q70" s="21" t="str">
        <f t="shared" si="79"/>
        <v>1.22 </v>
      </c>
      <c r="R70" s="21" t="str">
        <f t="shared" si="80"/>
        <v>0.14</v>
      </c>
      <c r="S70" s="16" t="s">
        <v>304</v>
      </c>
      <c r="T70" s="21" t="str">
        <f t="shared" si="81"/>
        <v>1.20 </v>
      </c>
      <c r="U70" s="21" t="str">
        <f t="shared" si="82"/>
        <v>0.16</v>
      </c>
    </row>
    <row r="71" ht="14.25" spans="1:22">
      <c r="E71" s="21">
        <f>E70-E69</f>
        <v>2.22</v>
      </c>
      <c r="F71" s="21">
        <f>SQRT(F69^2+F70^2-2*0.6*F69*F70)</f>
        <v>4.79069097312694</v>
      </c>
      <c r="H71" s="21">
        <f>H70-H69</f>
        <v>0.140000000000001</v>
      </c>
      <c r="I71" s="21">
        <f>SQRT(I69^2+I70^2-2*0.6*I69*I70)</f>
        <v>4.60625661464925</v>
      </c>
      <c r="K71" s="21">
        <f>K70-K69</f>
        <v>0.37</v>
      </c>
      <c r="L71" s="21">
        <f>SQRT(L69^2+L70^2-2*0.6*L69*L70)</f>
        <v>0.472079135910934</v>
      </c>
      <c r="N71" s="21">
        <f>N70-N69</f>
        <v>0.3</v>
      </c>
      <c r="O71" s="21">
        <f>SQRT(O69^2+O70^2-2*0.6*O69*O70)</f>
        <v>0.478681316189734</v>
      </c>
      <c r="Q71" s="21">
        <f>Q70-Q69</f>
        <v>0.22</v>
      </c>
      <c r="R71" s="21">
        <f>SQRT(R69^2+R70^2-2*0.6*R69*R70)</f>
        <v>0.13</v>
      </c>
      <c r="S71">
        <v>118</v>
      </c>
      <c r="T71" s="21">
        <f>T70-T69</f>
        <v>0.19</v>
      </c>
      <c r="U71" s="21">
        <f>SQRT(U69^2+U70^2-2*0.6*U69*U70)</f>
        <v>0.132438665049146</v>
      </c>
      <c r="V71">
        <v>119</v>
      </c>
    </row>
    <row r="72" ht="14.25" hidden="1" spans="1:22">
      <c r="Q72" s="16"/>
      <c r="R72" s="16"/>
      <c r="T72" s="16"/>
      <c r="U72" s="16"/>
    </row>
    <row r="73" ht="14.65" hidden="1" spans="1:22">
      <c r="A73" t="s">
        <v>305</v>
      </c>
      <c r="B73" s="58" t="s">
        <v>306</v>
      </c>
      <c r="C73" s="16" t="s">
        <v>307</v>
      </c>
      <c r="D73" s="16" t="s">
        <v>308</v>
      </c>
      <c r="E73" s="16"/>
      <c r="F73" s="16"/>
      <c r="G73" s="16" t="s">
        <v>309</v>
      </c>
      <c r="H73" s="16"/>
      <c r="J73" s="16" t="s">
        <v>310</v>
      </c>
      <c r="M73" s="16" t="s">
        <v>311</v>
      </c>
      <c r="P73" s="16" t="s">
        <v>312</v>
      </c>
      <c r="S73" s="16" t="s">
        <v>313</v>
      </c>
    </row>
    <row r="74" ht="14.25" hidden="1" spans="1:22">
      <c r="C74" s="16" t="s">
        <v>175</v>
      </c>
      <c r="D74" s="16" t="s">
        <v>314</v>
      </c>
      <c r="E74" s="21" t="str">
        <f t="shared" ref="E74:E80" si="83">LEFT(D74,5)</f>
        <v>23.15</v>
      </c>
      <c r="F74" s="21" t="str">
        <f t="shared" si="77"/>
        <v>2.31</v>
      </c>
      <c r="G74" s="16" t="s">
        <v>315</v>
      </c>
      <c r="H74" s="21" t="str">
        <f>LEFT(G74,5)</f>
        <v>23.22</v>
      </c>
      <c r="I74" s="21" t="str">
        <f t="shared" si="78"/>
        <v>2.23</v>
      </c>
      <c r="J74" s="16" t="s">
        <v>316</v>
      </c>
      <c r="K74" s="21" t="e">
        <f>LEFT(#REF!,5)</f>
        <v>#REF!</v>
      </c>
      <c r="L74" s="21" t="e">
        <f>RIGHT(#REF!,4)</f>
        <v>#REF!</v>
      </c>
      <c r="M74" s="16" t="s">
        <v>317</v>
      </c>
      <c r="N74" s="21" t="str">
        <f t="shared" ref="N74:N80" si="84">LEFT(M74,5)</f>
        <v>6.08±</v>
      </c>
      <c r="O74" s="21" t="str">
        <f t="shared" ref="O74:O80" si="85">RIGHT(M74,4)</f>
        <v>1.75</v>
      </c>
      <c r="P74" s="16" t="s">
        <v>318</v>
      </c>
      <c r="Q74" s="21" t="str">
        <f t="shared" si="79"/>
        <v>0.68±</v>
      </c>
      <c r="R74" s="21" t="str">
        <f t="shared" si="80"/>
        <v>0.05</v>
      </c>
      <c r="S74" s="16" t="s">
        <v>319</v>
      </c>
      <c r="T74" s="21" t="str">
        <f t="shared" si="81"/>
        <v>0.67±</v>
      </c>
      <c r="U74" s="21" t="str">
        <f t="shared" si="82"/>
        <v>0.06</v>
      </c>
    </row>
    <row r="75" ht="26.25" hidden="1" spans="1:22">
      <c r="C75" s="16" t="s">
        <v>190</v>
      </c>
      <c r="D75" s="16" t="s">
        <v>320</v>
      </c>
      <c r="E75" s="21" t="str">
        <f t="shared" si="83"/>
        <v>24.09</v>
      </c>
      <c r="F75" s="21" t="str">
        <f t="shared" si="77"/>
        <v>.45△</v>
      </c>
      <c r="G75" s="16" t="s">
        <v>321</v>
      </c>
      <c r="H75" s="21" t="str">
        <f>LEFT(G75,5)</f>
        <v>24.85</v>
      </c>
      <c r="I75" s="21" t="str">
        <f t="shared" si="78"/>
        <v>.52＊</v>
      </c>
      <c r="J75" s="16" t="s">
        <v>322</v>
      </c>
      <c r="K75" s="21" t="e">
        <f>LEFT(#REF!,5)</f>
        <v>#REF!</v>
      </c>
      <c r="L75" s="21" t="e">
        <f>RIGHT(#REF!,4)</f>
        <v>#REF!</v>
      </c>
      <c r="M75" s="16" t="s">
        <v>323</v>
      </c>
      <c r="N75" s="21" t="str">
        <f t="shared" si="84"/>
        <v>7.19±</v>
      </c>
      <c r="O75" s="21" t="str">
        <f t="shared" si="85"/>
        <v>.11＊</v>
      </c>
      <c r="P75" s="16" t="s">
        <v>324</v>
      </c>
      <c r="Q75" s="21" t="str">
        <f t="shared" si="79"/>
        <v>0.76±</v>
      </c>
      <c r="R75" s="21" t="str">
        <f t="shared" si="80"/>
        <v>.04△</v>
      </c>
      <c r="S75" s="16" t="s">
        <v>325</v>
      </c>
      <c r="T75" s="21" t="str">
        <f t="shared" si="81"/>
        <v>0.82±</v>
      </c>
      <c r="U75" s="21" t="str">
        <f t="shared" si="82"/>
        <v>.05＊</v>
      </c>
    </row>
    <row r="76" ht="14.25" hidden="1" spans="1:22">
      <c r="E76" s="21">
        <f>E75-E74</f>
        <v>0.940000000000001</v>
      </c>
      <c r="F76" s="21" t="e">
        <f>SQRT(F74^2+F75^2-2*0.6*F74*F75)</f>
        <v>#VALUE!</v>
      </c>
      <c r="H76" s="21">
        <f>H75-H74</f>
        <v>1.63</v>
      </c>
      <c r="I76" s="21" t="e">
        <f>SQRT(I74^2+I75^2-2*0.6*I74*I75)</f>
        <v>#VALUE!</v>
      </c>
      <c r="K76" s="21" t="e">
        <f>K75-K74</f>
        <v>#REF!</v>
      </c>
      <c r="L76" s="21" t="e">
        <f>SQRT(L74^2+L75^2-2*0.6*L74*L75)</f>
        <v>#REF!</v>
      </c>
      <c r="N76" s="21" t="e">
        <f>N75-N74</f>
        <v>#VALUE!</v>
      </c>
      <c r="O76" s="21" t="e">
        <f>SQRT(O74^2+O75^2-2*0.6*O74*O75)</f>
        <v>#VALUE!</v>
      </c>
      <c r="Q76" s="21" t="e">
        <f>Q75-Q74</f>
        <v>#VALUE!</v>
      </c>
      <c r="R76" s="21" t="e">
        <f>SQRT(R74^2+R75^2-2*0.6*R74*R75)</f>
        <v>#VALUE!</v>
      </c>
      <c r="T76" s="21" t="e">
        <f>T75-T74</f>
        <v>#VALUE!</v>
      </c>
      <c r="U76" s="21" t="e">
        <f>SQRT(U74^2+U75^2-2*0.6*U74*U75)</f>
        <v>#VALUE!</v>
      </c>
    </row>
    <row r="77" hidden="1"/>
    <row r="78" hidden="1"/>
    <row r="79" ht="26.25" hidden="1" spans="1:22">
      <c r="B79" s="27" t="s">
        <v>326</v>
      </c>
      <c r="C79" s="59" t="s">
        <v>307</v>
      </c>
      <c r="D79" s="59" t="s">
        <v>327</v>
      </c>
      <c r="E79" s="21" t="str">
        <f t="shared" si="83"/>
        <v>ASMI-</v>
      </c>
      <c r="F79" s="21" t="str">
        <f>RIGHT(D79,4)</f>
        <v>-对照组</v>
      </c>
      <c r="G79" s="59" t="s">
        <v>328</v>
      </c>
      <c r="H79" s="59"/>
      <c r="J79" s="59" t="s">
        <v>308</v>
      </c>
      <c r="K79" s="21" t="e">
        <f>LEFT(#REF!,5)</f>
        <v>#REF!</v>
      </c>
      <c r="L79" s="21" t="e">
        <f>RIGHT(#REF!,4)</f>
        <v>#REF!</v>
      </c>
      <c r="M79" s="59" t="s">
        <v>309</v>
      </c>
      <c r="N79" s="21" t="str">
        <f t="shared" si="84"/>
        <v>握力-观察</v>
      </c>
      <c r="O79" s="21" t="str">
        <f t="shared" si="85"/>
        <v>-观察组</v>
      </c>
      <c r="P79" s="59" t="s">
        <v>329</v>
      </c>
      <c r="Q79" s="21" t="str">
        <f>LEFT(P79,5)</f>
        <v>6m步速-</v>
      </c>
      <c r="R79" s="21" t="str">
        <f>RIGHT(P79,4)</f>
        <v>-对照组</v>
      </c>
      <c r="S79" s="59" t="s">
        <v>330</v>
      </c>
      <c r="T79" s="21" t="str">
        <f>LEFT(S79,5)</f>
        <v>6m步速-</v>
      </c>
      <c r="U79" s="21" t="str">
        <f>RIGHT(S79,4)</f>
        <v>-观察组</v>
      </c>
    </row>
    <row r="80" ht="14.25" hidden="1" spans="1:22">
      <c r="C80" s="26" t="s">
        <v>175</v>
      </c>
      <c r="D80" s="26" t="s">
        <v>331</v>
      </c>
      <c r="E80" s="21" t="str">
        <f t="shared" si="83"/>
        <v>5.58 </v>
      </c>
      <c r="F80" s="21" t="str">
        <f>RIGHT(D80,4)</f>
        <v>0.71</v>
      </c>
      <c r="G80" s="26" t="s">
        <v>332</v>
      </c>
      <c r="H80" s="21" t="str">
        <f>LEFT(G80,5)</f>
        <v>5.75 </v>
      </c>
      <c r="I80" s="21" t="str">
        <f>RIGHT(G80,4)</f>
        <v>0.83</v>
      </c>
      <c r="J80" s="26" t="s">
        <v>333</v>
      </c>
      <c r="K80" s="21" t="e">
        <f>LEFT(#REF!,5)</f>
        <v>#REF!</v>
      </c>
      <c r="L80" s="21" t="e">
        <f>RIGHT(#REF!,4)</f>
        <v>#REF!</v>
      </c>
      <c r="M80" s="26" t="s">
        <v>334</v>
      </c>
      <c r="N80" s="21" t="str">
        <f t="shared" si="84"/>
        <v>15.84</v>
      </c>
      <c r="O80" s="21" t="str">
        <f t="shared" si="85"/>
        <v>5.94</v>
      </c>
      <c r="P80" s="26" t="s">
        <v>335</v>
      </c>
      <c r="Q80" s="21" t="str">
        <f>LEFT(P80,5)</f>
        <v>0.60 </v>
      </c>
      <c r="R80" s="21" t="str">
        <f>RIGHT(P80,4)</f>
        <v>0.14</v>
      </c>
      <c r="S80" s="26" t="s">
        <v>336</v>
      </c>
      <c r="T80" s="21" t="str">
        <f>LEFT(S80,5)</f>
        <v>0.58 </v>
      </c>
      <c r="U80" s="21" t="str">
        <f>RIGHT(S80,4)</f>
        <v>0.14</v>
      </c>
    </row>
    <row r="81" ht="14.25" hidden="1" spans="3:21">
      <c r="C81" s="26" t="s">
        <v>190</v>
      </c>
      <c r="D81" s="26" t="s">
        <v>337</v>
      </c>
      <c r="E81" s="21" t="e">
        <f>E80-E79</f>
        <v>#VALUE!</v>
      </c>
      <c r="F81" s="21" t="e">
        <f>SQRT(F79^2+F80^2-2*0.6*F79*F80)</f>
        <v>#VALUE!</v>
      </c>
      <c r="G81" s="26" t="s">
        <v>338</v>
      </c>
      <c r="H81" s="21" t="str">
        <f>LEFT(G81,5)</f>
        <v>6.27 </v>
      </c>
      <c r="I81" s="21" t="str">
        <f>RIGHT(G81,4)</f>
        <v>0.82</v>
      </c>
      <c r="J81" s="26" t="s">
        <v>339</v>
      </c>
      <c r="K81" s="21" t="e">
        <f>K80-K79</f>
        <v>#REF!</v>
      </c>
      <c r="L81" s="21" t="e">
        <f>SQRT(L79^2+L80^2-2*0.6*L79*L80)</f>
        <v>#REF!</v>
      </c>
      <c r="M81" s="26" t="s">
        <v>340</v>
      </c>
      <c r="N81" s="21" t="e">
        <f>N80-N79</f>
        <v>#VALUE!</v>
      </c>
      <c r="O81" s="21" t="e">
        <f>SQRT(O79^2+O80^2-2*0.6*O79*O80)</f>
        <v>#VALUE!</v>
      </c>
      <c r="P81" s="26" t="s">
        <v>341</v>
      </c>
      <c r="Q81" s="21" t="e">
        <f>Q80-Q79</f>
        <v>#VALUE!</v>
      </c>
      <c r="R81" s="21" t="e">
        <f>SQRT(R79^2+R80^2-2*0.6*R79*R80)</f>
        <v>#VALUE!</v>
      </c>
      <c r="S81" s="26" t="s">
        <v>342</v>
      </c>
      <c r="T81" s="21" t="e">
        <f>T80-T79</f>
        <v>#VALUE!</v>
      </c>
      <c r="U81" s="21" t="e">
        <f>SQRT(U79^2+U80^2-2*0.6*U79*U80)</f>
        <v>#VALUE!</v>
      </c>
    </row>
    <row r="82" ht="14.25" hidden="1" spans="3:21">
      <c r="H82" s="21">
        <f>H81-H80</f>
        <v>0.52</v>
      </c>
      <c r="I82" s="21">
        <f>SQRT(I80^2+I81^2-2*0.6*I80*I81)</f>
        <v>0.737956638292522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20"/>
  <sheetViews>
    <sheetView zoomScale="62" zoomScaleNormal="62" workbookViewId="0">
      <selection activeCell="AT14" sqref="AT14"/>
    </sheetView>
  </sheetViews>
  <sheetFormatPr defaultColWidth="9.02654867256637" defaultRowHeight="13.5"/>
  <sheetData>
    <row r="1" s="1" customFormat="1" ht="63.75" customHeight="1" spans="1:58">
      <c r="A1" s="2" t="s">
        <v>343</v>
      </c>
      <c r="B1" s="2" t="s">
        <v>344</v>
      </c>
      <c r="C1" s="2" t="s">
        <v>345</v>
      </c>
      <c r="D1" s="2" t="s">
        <v>346</v>
      </c>
      <c r="E1" s="2" t="s">
        <v>347</v>
      </c>
      <c r="F1" s="2" t="s">
        <v>348</v>
      </c>
      <c r="G1" s="2" t="s">
        <v>349</v>
      </c>
      <c r="H1" s="2" t="s">
        <v>350</v>
      </c>
      <c r="I1" s="2" t="s">
        <v>351</v>
      </c>
      <c r="J1" s="2" t="s">
        <v>352</v>
      </c>
      <c r="K1" s="2" t="s">
        <v>353</v>
      </c>
      <c r="L1" s="2" t="s">
        <v>354</v>
      </c>
      <c r="M1" s="2" t="s">
        <v>355</v>
      </c>
      <c r="O1" s="2" t="s">
        <v>356</v>
      </c>
      <c r="Q1" s="2" t="s">
        <v>357</v>
      </c>
      <c r="S1" s="3" t="s">
        <v>358</v>
      </c>
      <c r="T1" s="4" t="s">
        <v>359</v>
      </c>
      <c r="U1" s="4"/>
      <c r="V1" s="4"/>
      <c r="W1" s="4"/>
      <c r="X1" s="4" t="s">
        <v>359</v>
      </c>
      <c r="Y1" s="4"/>
      <c r="Z1" s="4"/>
      <c r="AA1" s="4"/>
      <c r="AB1" s="5" t="s">
        <v>49</v>
      </c>
      <c r="AC1" s="6"/>
      <c r="AF1" s="5" t="s">
        <v>49</v>
      </c>
      <c r="AG1" s="5"/>
      <c r="AH1" s="5"/>
      <c r="AI1" s="5"/>
      <c r="AJ1" s="7" t="s">
        <v>360</v>
      </c>
      <c r="AK1" s="7"/>
      <c r="AL1" s="7"/>
      <c r="AM1" s="7"/>
      <c r="AN1" s="7" t="s">
        <v>360</v>
      </c>
      <c r="AO1" s="3"/>
      <c r="AP1" s="3"/>
      <c r="AQ1" s="3"/>
      <c r="AR1" s="3"/>
    </row>
    <row r="2" s="1" customFormat="1" ht="63.75" customHeight="1" spans="1:58">
      <c r="A2" s="2"/>
      <c r="B2" s="2"/>
      <c r="C2" s="2"/>
      <c r="D2" s="2"/>
      <c r="E2" s="2"/>
      <c r="F2" s="2"/>
      <c r="G2" s="2"/>
      <c r="H2" s="2"/>
      <c r="I2" s="2"/>
      <c r="J2" s="2"/>
      <c r="K2" s="2"/>
      <c r="L2" s="2"/>
      <c r="M2" s="2"/>
      <c r="O2" s="2"/>
      <c r="Q2" s="2"/>
      <c r="S2" s="3" t="s">
        <v>361</v>
      </c>
      <c r="T2" s="4" t="s">
        <v>362</v>
      </c>
      <c r="U2" s="4" t="s">
        <v>363</v>
      </c>
      <c r="V2" s="4" t="s">
        <v>364</v>
      </c>
      <c r="W2" s="4"/>
      <c r="X2" s="4" t="s">
        <v>365</v>
      </c>
      <c r="Y2" s="4"/>
      <c r="Z2" s="4"/>
      <c r="AA2" s="4"/>
      <c r="AB2" s="5" t="s">
        <v>366</v>
      </c>
      <c r="AC2" s="6"/>
      <c r="AF2" s="5" t="s">
        <v>367</v>
      </c>
      <c r="AG2" s="5"/>
      <c r="AH2" s="5"/>
      <c r="AI2" s="5" t="s">
        <v>368</v>
      </c>
      <c r="AJ2" s="7" t="s">
        <v>366</v>
      </c>
      <c r="AK2" s="7"/>
      <c r="AL2" s="7"/>
      <c r="AM2" s="7"/>
      <c r="AN2" s="7" t="s">
        <v>367</v>
      </c>
      <c r="AO2" s="3"/>
      <c r="AP2" s="3"/>
      <c r="AQ2" s="3"/>
      <c r="AR2" s="3"/>
    </row>
    <row r="3" s="1" customFormat="1" ht="66" customHeight="1" spans="1:58">
      <c r="A3" s="2"/>
      <c r="B3" s="2"/>
      <c r="C3" s="2"/>
      <c r="D3" s="2"/>
      <c r="E3" s="2"/>
      <c r="F3" s="2"/>
      <c r="G3" s="2"/>
      <c r="H3" s="2"/>
      <c r="I3" s="2"/>
      <c r="J3" s="2"/>
      <c r="K3" s="2"/>
      <c r="L3" s="2"/>
      <c r="M3" s="2"/>
      <c r="O3" s="2"/>
      <c r="Q3" s="2"/>
      <c r="S3" s="3" t="s">
        <v>175</v>
      </c>
      <c r="T3" s="4" t="s">
        <v>369</v>
      </c>
      <c r="U3" s="4" t="str">
        <f>LEFT(T3,4)</f>
        <v>4.23</v>
      </c>
      <c r="V3" s="4" t="str">
        <f>RIGHT(T3,4)</f>
        <v>0.35</v>
      </c>
      <c r="W3" s="4"/>
      <c r="X3" s="4" t="s">
        <v>370</v>
      </c>
      <c r="Y3" s="4"/>
      <c r="Z3" s="4"/>
      <c r="AA3" s="4"/>
      <c r="AB3" s="5" t="s">
        <v>371</v>
      </c>
      <c r="AC3" s="6"/>
      <c r="AF3" s="5" t="s">
        <v>372</v>
      </c>
      <c r="AG3" s="5"/>
      <c r="AH3" s="5"/>
      <c r="AI3" s="5"/>
      <c r="AJ3" s="7" t="s">
        <v>373</v>
      </c>
      <c r="AK3" s="7"/>
      <c r="AL3" s="7"/>
      <c r="AM3" s="7"/>
      <c r="AN3" s="7" t="s">
        <v>374</v>
      </c>
      <c r="AO3" s="3"/>
      <c r="AP3" s="3"/>
      <c r="AQ3" s="3"/>
      <c r="AR3" s="3"/>
    </row>
    <row r="4" s="1" customFormat="1" ht="63.75" customHeight="1" spans="1:58">
      <c r="A4" s="2"/>
      <c r="B4" s="2"/>
      <c r="C4" s="2"/>
      <c r="D4" s="2"/>
      <c r="E4" s="2"/>
      <c r="F4" s="2"/>
      <c r="G4" s="2"/>
      <c r="H4" s="2"/>
      <c r="I4" s="2"/>
      <c r="J4" s="2"/>
      <c r="K4" s="2"/>
      <c r="L4" s="2"/>
      <c r="M4" s="2"/>
      <c r="O4" s="2"/>
      <c r="Q4" s="2"/>
      <c r="S4" s="8" t="s">
        <v>190</v>
      </c>
      <c r="T4" s="4" t="s">
        <v>375</v>
      </c>
      <c r="U4" s="4" t="str">
        <f t="shared" ref="U4:U18" si="0">LEFT(T4,4)</f>
        <v>8.85</v>
      </c>
      <c r="V4" s="4" t="str">
        <f t="shared" ref="V4:V20" si="1">RIGHT(T4,4)</f>
        <v>0.52</v>
      </c>
      <c r="W4" s="4">
        <v>30</v>
      </c>
      <c r="X4" s="4" t="s">
        <v>376</v>
      </c>
      <c r="Y4" s="4" t="str">
        <f>LEFT(X4,4)</f>
        <v>7.11</v>
      </c>
      <c r="Z4" s="4" t="str">
        <f>RIGHT(X4,4)</f>
        <v>0.44</v>
      </c>
      <c r="AA4" s="4">
        <v>30</v>
      </c>
      <c r="AB4" s="5" t="s">
        <v>377</v>
      </c>
      <c r="AC4" s="4" t="str">
        <f>LEFT(AB4,4)</f>
        <v>27.2</v>
      </c>
      <c r="AD4" s="4" t="str">
        <f>RIGHT(AB4,4)</f>
        <v>2.12</v>
      </c>
      <c r="AE4" s="4">
        <v>30</v>
      </c>
      <c r="AF4" s="5" t="s">
        <v>378</v>
      </c>
      <c r="AG4" s="4" t="str">
        <f>LEFT(AF4,4)</f>
        <v>25.5</v>
      </c>
      <c r="AH4" s="4" t="str">
        <f>RIGHT(AF4,4)</f>
        <v>3.37</v>
      </c>
      <c r="AI4" s="4">
        <v>30</v>
      </c>
      <c r="AJ4" s="7" t="s">
        <v>379</v>
      </c>
      <c r="AK4" s="4" t="str">
        <f>LEFT(AJ4,4)</f>
        <v>0.88</v>
      </c>
      <c r="AL4" s="4" t="str">
        <f>RIGHT(AJ4,4)</f>
        <v>0.13</v>
      </c>
      <c r="AM4" s="4">
        <v>30</v>
      </c>
      <c r="AN4" s="7" t="s">
        <v>380</v>
      </c>
      <c r="AO4" s="4" t="str">
        <f>LEFT(AN4,4)</f>
        <v>0.76</v>
      </c>
      <c r="AP4" s="4" t="str">
        <f>RIGHT(AN4,4)</f>
        <v>0.15</v>
      </c>
      <c r="AQ4" s="4">
        <v>30</v>
      </c>
      <c r="AR4" s="3"/>
    </row>
    <row r="5" s="1" customFormat="1" ht="63.75" customHeight="1" spans="1:58">
      <c r="A5" s="2"/>
      <c r="B5" s="2"/>
      <c r="C5" s="2"/>
      <c r="D5" s="2"/>
      <c r="E5" s="2"/>
      <c r="F5" s="2"/>
      <c r="G5" s="2"/>
      <c r="H5" s="2"/>
      <c r="I5" s="2"/>
      <c r="J5" s="2"/>
      <c r="K5" s="2"/>
      <c r="L5" s="2"/>
      <c r="M5" s="2"/>
      <c r="O5" s="2"/>
      <c r="Q5" s="2"/>
      <c r="S5" s="3"/>
      <c r="T5" s="4"/>
      <c r="U5" s="4" t="str">
        <f t="shared" si="0"/>
        <v/>
      </c>
      <c r="V5" s="4" t="str">
        <f t="shared" si="1"/>
        <v/>
      </c>
      <c r="W5" s="4"/>
      <c r="X5" s="4"/>
      <c r="Y5" s="4"/>
      <c r="Z5" s="4"/>
      <c r="AA5" s="4"/>
      <c r="AB5" s="5"/>
      <c r="AC5" s="6"/>
      <c r="AF5" s="9"/>
      <c r="AG5" s="9"/>
      <c r="AH5" s="9"/>
      <c r="AI5" s="9"/>
      <c r="AJ5" s="10"/>
      <c r="AK5" s="10"/>
      <c r="AL5" s="10"/>
      <c r="AM5" s="10"/>
      <c r="AN5" s="10"/>
      <c r="AO5" s="3"/>
      <c r="AP5" s="3"/>
      <c r="AQ5" s="3"/>
      <c r="AR5" s="3"/>
    </row>
    <row r="6" s="1" customFormat="1" ht="66" customHeight="1" spans="1:58">
      <c r="A6" s="2"/>
      <c r="B6" s="2"/>
      <c r="C6" s="2"/>
      <c r="D6" s="2"/>
      <c r="E6" s="2"/>
      <c r="F6" s="2"/>
      <c r="G6" s="2"/>
      <c r="H6" s="2"/>
      <c r="I6" s="2"/>
      <c r="J6" s="2"/>
      <c r="K6" s="2"/>
      <c r="L6" s="2"/>
      <c r="M6" s="2"/>
      <c r="O6" s="2"/>
      <c r="Q6" s="2"/>
      <c r="S6" s="3" t="s">
        <v>361</v>
      </c>
      <c r="T6" s="4" t="s">
        <v>381</v>
      </c>
      <c r="U6" s="4" t="str">
        <f t="shared" si="0"/>
        <v>ASMI</v>
      </c>
      <c r="V6" s="4" t="str">
        <f t="shared" si="1"/>
        <v>/m²）</v>
      </c>
      <c r="W6" s="11"/>
      <c r="X6" s="12" t="s">
        <v>382</v>
      </c>
      <c r="Y6" s="12"/>
      <c r="Z6" s="12"/>
      <c r="AA6" s="12"/>
      <c r="AB6" s="5" t="s">
        <v>383</v>
      </c>
      <c r="AC6" s="6"/>
      <c r="AF6" s="5" t="s">
        <v>382</v>
      </c>
      <c r="AG6" s="5"/>
      <c r="AH6" s="5"/>
      <c r="AI6" s="5"/>
      <c r="AJ6" s="7" t="s">
        <v>384</v>
      </c>
      <c r="AK6" s="7"/>
      <c r="AL6" s="7"/>
      <c r="AM6" s="7"/>
      <c r="AN6" s="7" t="s">
        <v>382</v>
      </c>
      <c r="AO6" s="7"/>
      <c r="AP6" s="7"/>
      <c r="AQ6" s="7"/>
      <c r="AR6" s="7"/>
      <c r="AS6" s="3" t="s">
        <v>385</v>
      </c>
      <c r="AT6" s="1" t="s">
        <v>382</v>
      </c>
      <c r="AU6" s="2"/>
      <c r="AX6" s="3"/>
      <c r="AY6" s="3"/>
    </row>
    <row r="7" s="1" customFormat="1" ht="63.75" customHeight="1" spans="1:58">
      <c r="A7" s="2" t="s">
        <v>386</v>
      </c>
      <c r="B7" s="2" t="s">
        <v>387</v>
      </c>
      <c r="C7" s="2" t="s">
        <v>388</v>
      </c>
      <c r="D7" s="2" t="s">
        <v>389</v>
      </c>
      <c r="E7" s="2" t="s">
        <v>390</v>
      </c>
      <c r="F7" s="2" t="s">
        <v>391</v>
      </c>
      <c r="G7" s="2" t="s">
        <v>392</v>
      </c>
      <c r="H7" s="2" t="s">
        <v>393</v>
      </c>
      <c r="I7" s="2" t="s">
        <v>394</v>
      </c>
      <c r="J7" s="2" t="s">
        <v>395</v>
      </c>
      <c r="K7" s="2" t="s">
        <v>353</v>
      </c>
      <c r="L7" s="2" t="s">
        <v>396</v>
      </c>
      <c r="M7" s="2" t="s">
        <v>397</v>
      </c>
      <c r="O7" s="2" t="s">
        <v>398</v>
      </c>
      <c r="Q7" s="2" t="s">
        <v>399</v>
      </c>
      <c r="S7" s="8" t="s">
        <v>400</v>
      </c>
      <c r="T7" s="4" t="s">
        <v>401</v>
      </c>
      <c r="U7" s="4" t="str">
        <f t="shared" si="0"/>
        <v>5.57</v>
      </c>
      <c r="V7" s="4" t="str">
        <f t="shared" si="1"/>
        <v>0.53</v>
      </c>
      <c r="W7" s="4">
        <v>40</v>
      </c>
      <c r="X7" s="4" t="s">
        <v>402</v>
      </c>
      <c r="Y7" s="4" t="str">
        <f>LEFT(X7,4)</f>
        <v>5.69</v>
      </c>
      <c r="Z7" s="4" t="str">
        <f>RIGHT(X7,4)</f>
        <v>0.49</v>
      </c>
      <c r="AA7" s="4">
        <v>40</v>
      </c>
      <c r="AB7" s="5" t="s">
        <v>403</v>
      </c>
      <c r="AC7" s="4" t="str">
        <f>LEFT(AB7,4)</f>
        <v>20.6</v>
      </c>
      <c r="AD7" s="4" t="str">
        <f>RIGHT(AB7,4)</f>
        <v>3.47</v>
      </c>
      <c r="AE7" s="4">
        <v>40</v>
      </c>
      <c r="AF7" s="5" t="s">
        <v>404</v>
      </c>
      <c r="AG7" s="4" t="str">
        <f>LEFT(AF7,4)</f>
        <v>20.5</v>
      </c>
      <c r="AH7" s="4" t="str">
        <f>RIGHT(AF7,4)</f>
        <v>2.93</v>
      </c>
      <c r="AI7" s="4">
        <v>40</v>
      </c>
      <c r="AJ7" s="7" t="s">
        <v>405</v>
      </c>
      <c r="AK7" s="4" t="str">
        <f>LEFT(AJ7,4)</f>
        <v>0.81</v>
      </c>
      <c r="AL7" s="4" t="str">
        <f>RIGHT(AJ7,4)</f>
        <v>0.14</v>
      </c>
      <c r="AM7" s="4">
        <v>40</v>
      </c>
      <c r="AN7" s="7" t="s">
        <v>406</v>
      </c>
      <c r="AO7" s="4" t="str">
        <f>LEFT(AN7,4)</f>
        <v>0.83</v>
      </c>
      <c r="AP7" s="4" t="str">
        <f>RIGHT(AN7,4)</f>
        <v>0.15</v>
      </c>
      <c r="AQ7" s="4">
        <v>40</v>
      </c>
      <c r="AR7" s="7"/>
      <c r="AS7" s="3" t="s">
        <v>407</v>
      </c>
      <c r="AT7" s="3" t="s">
        <v>408</v>
      </c>
      <c r="AX7" s="3"/>
      <c r="AY7" s="3"/>
    </row>
    <row r="8" s="1" customFormat="1" ht="63.75" customHeight="1" spans="1:58">
      <c r="A8" s="2"/>
      <c r="B8" s="2"/>
      <c r="C8" s="2"/>
      <c r="D8" s="2"/>
      <c r="E8" s="2"/>
      <c r="F8" s="2"/>
      <c r="G8" s="2"/>
      <c r="H8" s="2"/>
      <c r="I8" s="2"/>
      <c r="J8" s="2"/>
      <c r="K8" s="2"/>
      <c r="L8" s="2"/>
      <c r="M8" s="2"/>
      <c r="O8" s="2"/>
      <c r="Q8" s="2"/>
      <c r="S8" s="8" t="s">
        <v>409</v>
      </c>
      <c r="U8" s="4" t="str">
        <f t="shared" si="0"/>
        <v/>
      </c>
      <c r="V8" s="4" t="str">
        <f t="shared" si="1"/>
        <v/>
      </c>
      <c r="Y8" s="3"/>
      <c r="AA8" s="3"/>
      <c r="AG8" s="3"/>
      <c r="AH8" s="3"/>
    </row>
    <row r="9" s="1" customFormat="1" ht="64.5" customHeight="1" spans="1:58">
      <c r="A9" s="2"/>
      <c r="B9" s="2"/>
      <c r="C9" s="2"/>
      <c r="D9" s="2"/>
      <c r="E9" s="2"/>
      <c r="F9" s="2"/>
      <c r="G9" s="2"/>
      <c r="H9" s="2"/>
      <c r="I9" s="2"/>
      <c r="J9" s="2"/>
      <c r="K9" s="2"/>
      <c r="L9" s="2"/>
      <c r="M9" s="2"/>
      <c r="O9" s="2"/>
      <c r="Q9" s="2"/>
      <c r="S9" s="3" t="s">
        <v>410</v>
      </c>
      <c r="T9" s="3" t="s">
        <v>411</v>
      </c>
      <c r="U9" s="4" t="str">
        <f t="shared" si="0"/>
        <v>9.47</v>
      </c>
      <c r="V9" s="4" t="str">
        <f t="shared" si="1"/>
        <v>1.18</v>
      </c>
      <c r="X9" s="3" t="s">
        <v>412</v>
      </c>
      <c r="Y9" s="3"/>
      <c r="Z9" s="3" t="s">
        <v>413</v>
      </c>
      <c r="AA9" s="3"/>
      <c r="AB9" s="3" t="s">
        <v>414</v>
      </c>
      <c r="AG9" s="3"/>
      <c r="AH9" s="3"/>
    </row>
    <row r="10" s="1" customFormat="1" ht="90" customHeight="1" spans="1:58">
      <c r="A10" s="2" t="s">
        <v>386</v>
      </c>
      <c r="B10" s="2" t="s">
        <v>415</v>
      </c>
      <c r="C10" s="2" t="s">
        <v>416</v>
      </c>
      <c r="D10" s="2" t="s">
        <v>417</v>
      </c>
      <c r="E10" s="2" t="s">
        <v>390</v>
      </c>
      <c r="F10" s="2" t="s">
        <v>391</v>
      </c>
      <c r="G10" s="13" t="s">
        <v>418</v>
      </c>
      <c r="H10" s="2" t="s">
        <v>419</v>
      </c>
      <c r="I10" s="2" t="s">
        <v>420</v>
      </c>
      <c r="J10" s="2" t="s">
        <v>421</v>
      </c>
      <c r="K10" s="2" t="s">
        <v>353</v>
      </c>
      <c r="L10" s="2" t="s">
        <v>422</v>
      </c>
      <c r="M10" s="2" t="s">
        <v>423</v>
      </c>
      <c r="O10" s="2" t="s">
        <v>424</v>
      </c>
      <c r="Q10" s="2" t="s">
        <v>425</v>
      </c>
      <c r="S10" s="3" t="s">
        <v>358</v>
      </c>
      <c r="T10" s="3" t="s">
        <v>426</v>
      </c>
      <c r="U10" s="4" t="s">
        <v>427</v>
      </c>
      <c r="V10" s="4" t="s">
        <v>428</v>
      </c>
      <c r="X10" s="3" t="s">
        <v>232</v>
      </c>
      <c r="AB10" s="3" t="s">
        <v>429</v>
      </c>
      <c r="AC10" s="3"/>
      <c r="AD10" s="3"/>
      <c r="AE10" s="3"/>
      <c r="AF10" s="3" t="s">
        <v>49</v>
      </c>
      <c r="AG10" s="3"/>
      <c r="AH10" s="3"/>
      <c r="AI10" s="3"/>
      <c r="AJ10" s="3"/>
      <c r="AK10" s="3"/>
      <c r="AL10" s="3"/>
      <c r="AY10" s="3"/>
      <c r="AZ10" s="3"/>
      <c r="BA10" s="3"/>
      <c r="BB10" s="3"/>
      <c r="BC10" s="3"/>
      <c r="BD10" s="3"/>
      <c r="BE10" s="3"/>
    </row>
    <row r="11" s="1" customFormat="1" ht="14.6" spans="1:58">
      <c r="A11" s="2"/>
      <c r="B11" s="2"/>
      <c r="C11" s="2"/>
      <c r="D11" s="2"/>
      <c r="E11" s="2"/>
      <c r="F11" s="2"/>
      <c r="G11" s="2"/>
      <c r="H11" s="2"/>
      <c r="I11" s="2"/>
      <c r="J11" s="2"/>
      <c r="K11" s="2"/>
      <c r="L11" s="2"/>
      <c r="M11" s="2"/>
      <c r="O11" s="2"/>
      <c r="Q11" s="2"/>
      <c r="S11" s="3" t="s">
        <v>361</v>
      </c>
      <c r="U11" s="4" t="str">
        <f t="shared" si="0"/>
        <v/>
      </c>
      <c r="V11" s="4" t="str">
        <f t="shared" si="1"/>
        <v/>
      </c>
      <c r="X11" s="3" t="s">
        <v>430</v>
      </c>
      <c r="AF11" s="3" t="s">
        <v>430</v>
      </c>
      <c r="AK11" s="3"/>
      <c r="AY11" s="3"/>
      <c r="AZ11" s="3"/>
      <c r="BA11" s="3"/>
      <c r="BB11" s="3"/>
      <c r="BC11" s="3"/>
      <c r="BD11" s="3"/>
      <c r="BE11" s="3"/>
    </row>
    <row r="12" s="1" customFormat="1" ht="27" customHeight="1" spans="1:58">
      <c r="A12" s="2"/>
      <c r="B12" s="2"/>
      <c r="C12" s="2"/>
      <c r="D12" s="2"/>
      <c r="E12" s="2"/>
      <c r="F12" s="2"/>
      <c r="G12" s="2"/>
      <c r="H12" s="2"/>
      <c r="I12" s="2"/>
      <c r="J12" s="2"/>
      <c r="K12" s="2"/>
      <c r="L12" s="2"/>
      <c r="M12" s="2"/>
      <c r="O12" s="2"/>
      <c r="Q12" s="2"/>
      <c r="S12" s="3" t="s">
        <v>175</v>
      </c>
      <c r="T12" s="3" t="s">
        <v>431</v>
      </c>
      <c r="U12" s="4" t="str">
        <f t="shared" si="0"/>
        <v>5.32</v>
      </c>
      <c r="V12" s="4" t="str">
        <f t="shared" si="1"/>
        <v>1.01</v>
      </c>
      <c r="X12" s="3" t="s">
        <v>432</v>
      </c>
      <c r="AB12" s="3" t="s">
        <v>433</v>
      </c>
      <c r="AC12" s="3"/>
      <c r="AD12" s="3"/>
      <c r="AE12" s="3"/>
      <c r="AF12" s="3" t="s">
        <v>434</v>
      </c>
      <c r="AG12" s="3"/>
      <c r="AH12" s="3"/>
      <c r="AI12" s="3"/>
      <c r="AJ12" s="3"/>
      <c r="AK12" s="3"/>
      <c r="AL12" s="3"/>
      <c r="AY12" s="3"/>
      <c r="AZ12" s="3"/>
      <c r="BA12" s="3"/>
      <c r="BB12" s="3"/>
      <c r="BC12" s="3"/>
      <c r="BD12" s="3"/>
      <c r="BE12" s="3"/>
    </row>
    <row r="13" s="1" customFormat="1" ht="26.25" spans="1:58">
      <c r="A13" s="2"/>
      <c r="B13" s="2"/>
      <c r="C13" s="2"/>
      <c r="D13" s="2"/>
      <c r="E13" s="2"/>
      <c r="F13" s="2"/>
      <c r="G13" s="2"/>
      <c r="H13" s="2"/>
      <c r="I13" s="2"/>
      <c r="J13" s="2"/>
      <c r="K13" s="2"/>
      <c r="L13" s="2"/>
      <c r="M13" s="2"/>
      <c r="O13" s="2"/>
      <c r="Q13" s="2"/>
      <c r="S13" s="8" t="s">
        <v>190</v>
      </c>
      <c r="T13" s="8" t="s">
        <v>435</v>
      </c>
      <c r="U13" s="4" t="str">
        <f t="shared" si="0"/>
        <v>6.01</v>
      </c>
      <c r="V13" s="4" t="str">
        <f t="shared" si="1"/>
        <v>1.06</v>
      </c>
      <c r="W13" s="1">
        <v>49</v>
      </c>
      <c r="X13" s="8" t="s">
        <v>435</v>
      </c>
      <c r="Y13" s="4" t="str">
        <f>LEFT(X13,4)</f>
        <v>6.01</v>
      </c>
      <c r="Z13" s="4" t="str">
        <f>RIGHT(X13,4)</f>
        <v>1.06</v>
      </c>
      <c r="AA13" s="1">
        <v>49</v>
      </c>
      <c r="AB13" s="8" t="s">
        <v>436</v>
      </c>
      <c r="AC13" s="4" t="str">
        <f>LEFT(AB13,4)</f>
        <v>24.6</v>
      </c>
      <c r="AD13" s="4" t="str">
        <f>RIGHT(AB13,4)</f>
        <v>1.61</v>
      </c>
      <c r="AE13" s="1">
        <v>49</v>
      </c>
      <c r="AF13" s="8" t="s">
        <v>437</v>
      </c>
      <c r="AG13" s="4" t="str">
        <f>LEFT(AF13,4)</f>
        <v>21.3</v>
      </c>
      <c r="AH13" s="4" t="str">
        <f>RIGHT(AF13,4)</f>
        <v>1.58</v>
      </c>
      <c r="AI13" s="1">
        <v>49</v>
      </c>
      <c r="AJ13" s="8"/>
      <c r="AK13" s="8"/>
      <c r="AL13" s="8"/>
      <c r="AY13" s="3"/>
      <c r="AZ13" s="3"/>
      <c r="BA13" s="3"/>
      <c r="BB13" s="3"/>
      <c r="BC13" s="3"/>
      <c r="BD13" s="3"/>
      <c r="BE13" s="3"/>
    </row>
    <row r="14" s="1" customFormat="1" ht="135" customHeight="1" spans="1:58">
      <c r="A14" s="2" t="s">
        <v>438</v>
      </c>
      <c r="B14" s="2" t="s">
        <v>439</v>
      </c>
      <c r="C14" s="2" t="s">
        <v>440</v>
      </c>
      <c r="D14" s="2" t="s">
        <v>441</v>
      </c>
      <c r="E14" s="2" t="s">
        <v>442</v>
      </c>
      <c r="F14" s="2" t="s">
        <v>391</v>
      </c>
      <c r="G14" s="2" t="s">
        <v>443</v>
      </c>
      <c r="H14" s="2" t="s">
        <v>444</v>
      </c>
      <c r="I14" s="2" t="s">
        <v>445</v>
      </c>
      <c r="J14" s="2" t="s">
        <v>446</v>
      </c>
      <c r="K14" s="2" t="s">
        <v>353</v>
      </c>
      <c r="L14" s="2" t="s">
        <v>447</v>
      </c>
      <c r="M14" s="2" t="s">
        <v>448</v>
      </c>
      <c r="O14" s="2" t="s">
        <v>424</v>
      </c>
      <c r="Q14" s="2" t="s">
        <v>449</v>
      </c>
      <c r="S14" s="3" t="s">
        <v>450</v>
      </c>
      <c r="T14" s="3" t="s">
        <v>451</v>
      </c>
      <c r="U14" s="4"/>
      <c r="V14" s="4"/>
      <c r="Y14" s="3"/>
      <c r="Z14" s="3"/>
      <c r="AA14" s="3"/>
      <c r="AB14" s="3" t="s">
        <v>383</v>
      </c>
      <c r="AC14" s="3"/>
      <c r="AD14" s="3"/>
      <c r="AE14" s="3"/>
      <c r="AF14" s="3" t="s">
        <v>102</v>
      </c>
      <c r="AG14" s="3"/>
      <c r="AH14" s="3"/>
      <c r="AI14" s="3"/>
      <c r="AJ14" s="3" t="s">
        <v>233</v>
      </c>
      <c r="AK14" s="3"/>
      <c r="AL14" s="3"/>
      <c r="AN14" s="3" t="s">
        <v>102</v>
      </c>
      <c r="AO14" s="3"/>
      <c r="AT14" s="3" t="s">
        <v>452</v>
      </c>
      <c r="AU14" s="3" t="s">
        <v>102</v>
      </c>
      <c r="AV14" s="3"/>
      <c r="AZ14" s="3"/>
      <c r="BA14" s="3"/>
      <c r="BB14" s="3"/>
      <c r="BC14" s="3"/>
      <c r="BD14" s="3"/>
      <c r="BE14" s="3"/>
      <c r="BF14" s="3"/>
    </row>
    <row r="15" s="1" customFormat="1" ht="14.6" spans="1:58">
      <c r="A15" s="2"/>
      <c r="B15" s="2"/>
      <c r="C15" s="2"/>
      <c r="D15" s="2"/>
      <c r="E15" s="2"/>
      <c r="F15" s="2"/>
      <c r="G15" s="2"/>
      <c r="H15" s="2"/>
      <c r="I15" s="2"/>
      <c r="J15" s="2"/>
      <c r="K15" s="2"/>
      <c r="L15" s="2"/>
      <c r="M15" s="2"/>
      <c r="O15" s="2"/>
      <c r="Q15" s="2"/>
      <c r="S15" s="3" t="s">
        <v>361</v>
      </c>
      <c r="T15" s="3" t="s">
        <v>453</v>
      </c>
      <c r="U15" s="4"/>
      <c r="V15" s="4"/>
      <c r="X15" s="3" t="s">
        <v>102</v>
      </c>
      <c r="AB15" s="3" t="s">
        <v>453</v>
      </c>
      <c r="AC15" s="14"/>
      <c r="AD15" s="14"/>
      <c r="AE15" s="14"/>
      <c r="AF15" s="1"/>
      <c r="AG15" s="1"/>
      <c r="AH15" s="14"/>
      <c r="AI15" s="14"/>
      <c r="AJ15" s="3" t="s">
        <v>453</v>
      </c>
      <c r="AT15" s="3" t="s">
        <v>453</v>
      </c>
      <c r="AZ15" s="3"/>
      <c r="BA15" s="3"/>
      <c r="BB15" s="3"/>
      <c r="BC15" s="3"/>
      <c r="BD15" s="3"/>
      <c r="BE15" s="3"/>
      <c r="BF15" s="3"/>
    </row>
    <row r="16" s="1" customFormat="1" ht="26.25" spans="1:58">
      <c r="A16" s="2"/>
      <c r="B16" s="2"/>
      <c r="C16" s="2"/>
      <c r="D16" s="2"/>
      <c r="E16" s="2"/>
      <c r="F16" s="2"/>
      <c r="G16" s="2"/>
      <c r="H16" s="2"/>
      <c r="I16" s="2"/>
      <c r="J16" s="2"/>
      <c r="K16" s="2"/>
      <c r="L16" s="2"/>
      <c r="M16" s="2"/>
      <c r="O16" s="2"/>
      <c r="Q16" s="2"/>
      <c r="S16" s="3" t="s">
        <v>175</v>
      </c>
      <c r="T16" s="3" t="s">
        <v>454</v>
      </c>
      <c r="U16" s="4" t="str">
        <f t="shared" si="0"/>
        <v>5.24</v>
      </c>
      <c r="V16" s="4" t="str">
        <f t="shared" si="1"/>
        <v>1.23</v>
      </c>
      <c r="X16" s="3" t="s">
        <v>455</v>
      </c>
      <c r="Y16" s="3"/>
      <c r="Z16" s="3"/>
      <c r="AA16" s="3"/>
      <c r="AB16" s="3" t="s">
        <v>456</v>
      </c>
      <c r="AC16" s="3"/>
      <c r="AD16" s="3"/>
      <c r="AE16" s="3"/>
      <c r="AF16" s="3" t="s">
        <v>457</v>
      </c>
      <c r="AG16" s="3"/>
      <c r="AH16" s="3"/>
      <c r="AI16" s="3"/>
      <c r="AJ16" s="3" t="s">
        <v>458</v>
      </c>
      <c r="AK16" s="3"/>
      <c r="AL16" s="3"/>
      <c r="AN16" s="3" t="s">
        <v>459</v>
      </c>
      <c r="AO16" s="3"/>
      <c r="AT16" s="3" t="s">
        <v>460</v>
      </c>
      <c r="AU16" s="3" t="s">
        <v>461</v>
      </c>
      <c r="AV16" s="3"/>
      <c r="AZ16" s="3"/>
      <c r="BA16" s="3"/>
      <c r="BB16" s="3"/>
      <c r="BC16" s="3"/>
      <c r="BD16" s="3"/>
      <c r="BE16" s="3"/>
      <c r="BF16" s="3"/>
    </row>
    <row r="17" ht="26.25" spans="19:48">
      <c r="S17" s="15" t="s">
        <v>190</v>
      </c>
      <c r="T17" s="15" t="s">
        <v>462</v>
      </c>
      <c r="U17" s="4" t="str">
        <f t="shared" si="0"/>
        <v>8.10</v>
      </c>
      <c r="V17" s="4" t="str">
        <f t="shared" si="1"/>
        <v>1.15</v>
      </c>
      <c r="W17">
        <v>55</v>
      </c>
      <c r="X17" s="15" t="s">
        <v>463</v>
      </c>
      <c r="Y17" s="4" t="str">
        <f>LEFT(X17,4)</f>
        <v>6.87</v>
      </c>
      <c r="Z17" s="4" t="str">
        <f>RIGHT(X17,4)</f>
        <v>1.10</v>
      </c>
      <c r="AA17">
        <v>55</v>
      </c>
      <c r="AB17" s="15" t="s">
        <v>464</v>
      </c>
      <c r="AC17" s="4" t="str">
        <f>LEFT(AB17,4)</f>
        <v>24.4</v>
      </c>
      <c r="AD17" s="4" t="str">
        <f>RIGHT(AB17,4)</f>
        <v>4.20</v>
      </c>
      <c r="AE17">
        <v>55</v>
      </c>
      <c r="AF17" s="15" t="s">
        <v>465</v>
      </c>
      <c r="AG17" s="4" t="str">
        <f>LEFT(AF17,4)</f>
        <v>21.2</v>
      </c>
      <c r="AH17" s="4" t="str">
        <f>RIGHT(AF17,4)</f>
        <v>4.19</v>
      </c>
      <c r="AI17">
        <v>55</v>
      </c>
      <c r="AJ17" s="16" t="s">
        <v>466</v>
      </c>
      <c r="AK17" s="4" t="str">
        <f>LEFT(AJ17,4)</f>
        <v>0.96</v>
      </c>
      <c r="AL17" s="4" t="str">
        <f>RIGHT(AJ17,4)</f>
        <v>0.31</v>
      </c>
      <c r="AM17">
        <v>55</v>
      </c>
      <c r="AN17" s="16" t="s">
        <v>467</v>
      </c>
      <c r="AO17" s="16"/>
      <c r="AP17" s="4" t="s">
        <v>468</v>
      </c>
      <c r="AQ17" s="4" t="s">
        <v>469</v>
      </c>
      <c r="AR17">
        <v>55</v>
      </c>
      <c r="AT17" s="16" t="s">
        <v>470</v>
      </c>
      <c r="AU17" s="16" t="s">
        <v>471</v>
      </c>
      <c r="AV17" s="16"/>
    </row>
    <row r="18" ht="14.25" spans="19:48">
      <c r="U18" s="4" t="str">
        <f t="shared" si="0"/>
        <v/>
      </c>
      <c r="V18" s="4" t="str">
        <f t="shared" si="1"/>
        <v/>
      </c>
    </row>
    <row r="19" spans="19:48">
      <c r="V19" s="4" t="str">
        <f t="shared" si="1"/>
        <v/>
      </c>
    </row>
    <row r="20" spans="19:48">
      <c r="V20" s="4" t="str">
        <f t="shared" si="1"/>
        <v/>
      </c>
    </row>
  </sheetData>
  <mergeCells count="12">
    <mergeCell ref="BA10:BB10"/>
    <mergeCell ref="BD10:BE10"/>
    <mergeCell ref="AF14:AG14"/>
    <mergeCell ref="AK14:AL14"/>
    <mergeCell ref="AN14:AO14"/>
    <mergeCell ref="AU14:AV14"/>
    <mergeCell ref="BB14:BC14"/>
    <mergeCell ref="BE14:BF14"/>
    <mergeCell ref="AN16:AO16"/>
    <mergeCell ref="AU16:AV16"/>
    <mergeCell ref="AN17:AO17"/>
    <mergeCell ref="AU17:AV17"/>
  </mergeCells>
  <dataValidations count="1">
    <dataValidation type="list" sqref="O1 O7 O10 O14 O2:O6 O8:O9 O11:O13 O15:O16">
      <formula1>""</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27801</dc:creator>
  <cp:lastModifiedBy>毛毛羽</cp:lastModifiedBy>
  <dcterms:created xsi:type="dcterms:W3CDTF">2026-01-24T04:11:00Z</dcterms:created>
  <dcterms:modified xsi:type="dcterms:W3CDTF">2026-01-28T02:24:54Z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BF6B66F9FB4F4D0BB32DA07D79790309_11</vt:lpwstr>
  </property>
  <property fmtid="{D5CDD505-2E9C-101B-9397-08002B2CF9AE}" pid="3" name="KSOProductBuildVer">
    <vt:lpwstr>2052-12.1.0.24657</vt:lpwstr>
  </property>
  <property fmtid="{D5CDD505-2E9C-101B-9397-08002B2CF9AE}" pid="4" name="CalculationRule">
    <vt:i4>1</vt:i4>
  </property>
</Properties>
</file>